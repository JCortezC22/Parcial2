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istoria de usuario (2)" sheetId="1" r:id="rId4"/>
    <sheet state="visible" name="Product backlog" sheetId="2" r:id="rId5"/>
    <sheet state="visible" name="Plan de proyecto (3)" sheetId="3" r:id="rId6"/>
    <sheet state="visible" name="Pila del Sprint(4)" sheetId="4" r:id="rId7"/>
    <sheet state="hidden" name="SB(WIP)" sheetId="5" r:id="rId8"/>
    <sheet state="visible" name="Plan de lanzamiento (5)" sheetId="6" r:id="rId9"/>
    <sheet state="visible" name="Sp1" sheetId="7" r:id="rId10"/>
    <sheet state="visible" name="Sp2" sheetId="8" r:id="rId11"/>
    <sheet state="visible" name="Sp3" sheetId="9" r:id="rId12"/>
    <sheet state="visible" name="Sp4" sheetId="10" r:id="rId13"/>
    <sheet state="visible" name="Sp5" sheetId="11" r:id="rId14"/>
    <sheet state="visible" name="Sp6" sheetId="12" r:id="rId15"/>
    <sheet state="visible" name="Pruebas" sheetId="13" r:id="rId16"/>
    <sheet state="hidden" name="Ruta" sheetId="14" r:id="rId17"/>
    <sheet state="hidden" name="Acta" sheetId="15" r:id="rId18"/>
  </sheets>
  <definedNames>
    <definedName localSheetId="9" name="SprintTasks">'Sp4'!$B$17:$V$29</definedName>
    <definedName localSheetId="6" name="TaskStatus">'Sp1'!$E$17:$E$30</definedName>
    <definedName localSheetId="9" name="ImplementationDays">'Sp4'!$C$14</definedName>
    <definedName localSheetId="10" name="TaskRows">'Sp5'!$F$15</definedName>
    <definedName localSheetId="8" name="ImplementationDays">'Sp3'!$C$14</definedName>
    <definedName localSheetId="7" name="ImplementationDays">'Sp2'!$C$14</definedName>
    <definedName localSheetId="8" name="TaskRows">'Sp3'!$F$15</definedName>
    <definedName localSheetId="9" name="TaskStoryID">'Sp4'!$C$17:$C$29</definedName>
    <definedName localSheetId="7" name="SprintTasks">'Sp2'!$B$17:$V$31</definedName>
    <definedName localSheetId="6" name="SprintTasks">'Sp1'!$B$17:$V$30</definedName>
    <definedName localSheetId="7" name="TaskStoryID">'Sp2'!$C$17:$C$31</definedName>
    <definedName localSheetId="10" name="TaskStatus">'Sp5'!$E$17:$E$26</definedName>
    <definedName localSheetId="9" name="TaskStatus">'Sp4'!$E$17:$E$29</definedName>
    <definedName localSheetId="6" name="TaskStoryID">'Sp1'!$C$17:$C$30</definedName>
    <definedName localSheetId="11" name="SprintTasks">'Sp6'!$B$17:$V$28</definedName>
    <definedName localSheetId="11" name="TaskRows">'Sp6'!$F$15</definedName>
    <definedName localSheetId="11" name="ImplementationDays">'Sp6'!$C$14</definedName>
    <definedName localSheetId="11" name="TaskStoryID">'Sp6'!$C$17:$C$28</definedName>
    <definedName localSheetId="8" name="TaskStatus">'Sp3'!$E$17:$E$27</definedName>
    <definedName localSheetId="8" name="SprintTasks">'Sp3'!$B$17:$V$27</definedName>
    <definedName localSheetId="6" name="TaskRows">'Sp1'!$F$15</definedName>
    <definedName localSheetId="8" name="TaskStoryID">'Sp3'!$C$17:$C$27</definedName>
    <definedName localSheetId="11" name="TaskStatus">'Sp6'!$E$17:$E$28</definedName>
    <definedName localSheetId="10" name="ImplementationDays">'Sp5'!$C$14</definedName>
    <definedName localSheetId="10" name="TaskStoryID">'Sp5'!$C$17:$C$26</definedName>
    <definedName localSheetId="6" name="ImplementationDays">'Sp1'!$C$14</definedName>
    <definedName localSheetId="10" name="SprintTasks">'Sp5'!$B$17:$V$26</definedName>
    <definedName localSheetId="7" name="TaskStatus">'Sp2'!$E$17:$E$31</definedName>
    <definedName localSheetId="7" name="TaskRows">'Sp2'!$F$15</definedName>
    <definedName localSheetId="9" name="TaskRows">'Sp4'!$F$15</definedName>
  </definedNames>
  <calcPr/>
  <extLst>
    <ext uri="GoogleSheetsCustomDataVersion2">
      <go:sheetsCustomData xmlns:go="http://customooxmlschemas.google.com/" r:id="rId19" roundtripDataChecksum="F9nBIVhp1/F1h0JoFUfMCJiF8AxGp2IvJIx/s+WHy1w="/>
    </ext>
  </extLst>
</workbook>
</file>

<file path=xl/sharedStrings.xml><?xml version="1.0" encoding="utf-8"?>
<sst xmlns="http://schemas.openxmlformats.org/spreadsheetml/2006/main" count="1017" uniqueCount="383">
  <si>
    <t>Plantilla de historias de usuario</t>
  </si>
  <si>
    <t>No. Historia de usuario</t>
  </si>
  <si>
    <r>
      <rPr>
        <rFont val="Calibri"/>
        <b/>
        <i/>
        <color theme="1"/>
        <sz val="14.0"/>
      </rPr>
      <t>Como</t>
    </r>
    <r>
      <rPr>
        <rFont val="Calibri"/>
        <i/>
        <color theme="1"/>
        <sz val="14.0"/>
      </rPr>
      <t xml:space="preserve"> &lt;tipo de usuario&gt;</t>
    </r>
  </si>
  <si>
    <r>
      <rPr>
        <rFont val="Calibri"/>
        <b/>
        <color theme="1"/>
        <sz val="14.0"/>
      </rPr>
      <t xml:space="preserve">Quiero </t>
    </r>
    <r>
      <rPr>
        <rFont val="Calibri"/>
        <i/>
        <color theme="1"/>
        <sz val="14.0"/>
      </rPr>
      <t>&lt;realizar alguna tarea&gt;</t>
    </r>
  </si>
  <si>
    <r>
      <rPr>
        <rFont val="Calibri"/>
        <b/>
        <i/>
        <color theme="1"/>
        <sz val="14.0"/>
      </rPr>
      <t>para que pueda</t>
    </r>
    <r>
      <rPr>
        <rFont val="Calibri"/>
        <b val="0"/>
        <i/>
        <color theme="1"/>
        <sz val="14.0"/>
      </rPr>
      <t xml:space="preserve"> &lt;lograr algún objetivo&gt;</t>
    </r>
  </si>
  <si>
    <t>Developer</t>
  </si>
  <si>
    <t>Prepara las Herramientas Case</t>
  </si>
  <si>
    <t>No partir de cero en el desarrollo de la aplicación solicitada</t>
  </si>
  <si>
    <t>Diseño de la solución</t>
  </si>
  <si>
    <t>Interpretar a través de DFD, Diagrama de clases, etc las necesidades y requisitos de los clientes</t>
  </si>
  <si>
    <t>Diseño de la BD, Arquitectura de Proyecto, Implementación</t>
  </si>
  <si>
    <t xml:space="preserve">Crear una aplicación modular y escalable a fin de garantizar su usabilidad, operatividad y calidad </t>
  </si>
  <si>
    <t>Contador</t>
  </si>
  <si>
    <t>Llevar con registro de empleados</t>
  </si>
  <si>
    <t>Disponer de la información básica de los empleados de la empresa</t>
  </si>
  <si>
    <t>Gestionar los descuentos de ley</t>
  </si>
  <si>
    <t>Aplicar los descuentos de ley, vigentes en el país, a cada empleado</t>
  </si>
  <si>
    <t>Como Contador</t>
  </si>
  <si>
    <t>Gestionar otros descuentos aplicables a los empleados</t>
  </si>
  <si>
    <t>Aplicar descuentos extras como préstamos bancarios y obligaciones impuestas</t>
  </si>
  <si>
    <t>Contador / Asistente</t>
  </si>
  <si>
    <t>Crear planillas de pagos</t>
  </si>
  <si>
    <t>Elaborar la planilla de pago mensual para cada empleado</t>
  </si>
  <si>
    <t>Elaborar reportes PDF imprimibles</t>
  </si>
  <si>
    <t>Compartir información física con stakeholders</t>
  </si>
  <si>
    <t>Elaborar boletas de pago individual</t>
  </si>
  <si>
    <t>Compartir información digital con stakeholders</t>
  </si>
  <si>
    <t>Elaborar reportes descargables en Excel</t>
  </si>
  <si>
    <t>Registrar usuarios de la aplicación</t>
  </si>
  <si>
    <t>Delegar acciones de cconsultas y/o administración de la base de datos</t>
  </si>
  <si>
    <t>Administrar las sesiones y privilegios de usuarios</t>
  </si>
  <si>
    <t>Crear respaldos de BD</t>
  </si>
  <si>
    <t>Tener planes de conteingencia que me permita salvaguardar la información</t>
  </si>
  <si>
    <t>Plataforma de Gestión Financiera Integral para Microempresas Salvadoreñas.</t>
  </si>
  <si>
    <t>Historia de usuario</t>
  </si>
  <si>
    <t>Nombre de tarea</t>
  </si>
  <si>
    <t>Responsable</t>
  </si>
  <si>
    <t>Estado</t>
  </si>
  <si>
    <t>Prioridades</t>
  </si>
  <si>
    <t>Esfuerzos
(días)</t>
  </si>
  <si>
    <t>US001</t>
  </si>
  <si>
    <t>Como emprendedor, quiero crear una cuenta con mi correo, para empezar a gestionar mis finanzas de forma privada.</t>
  </si>
  <si>
    <t>Implementar módulo de registro de usuarios</t>
  </si>
  <si>
    <t>Juan</t>
  </si>
  <si>
    <t>En progreso</t>
  </si>
  <si>
    <t>Alta</t>
  </si>
  <si>
    <t>US002</t>
  </si>
  <si>
    <t>Como usuario, quiero configurar el nombre y rubro de mi microempresa, para personalizar mis reportes y recibos</t>
  </si>
  <si>
    <t>Configuración de perfil empresarial</t>
  </si>
  <si>
    <t>Ana</t>
  </si>
  <si>
    <t>Pendiente</t>
  </si>
  <si>
    <t>US003</t>
  </si>
  <si>
    <t>Como usuario, quiero ingresar con contraseña o biometría, para proteger mi información financiera de terceros.</t>
  </si>
  <si>
    <t>Desarrollo de login y seguridad</t>
  </si>
  <si>
    <t>Carlos</t>
  </si>
  <si>
    <t>Completado</t>
  </si>
  <si>
    <t>US004</t>
  </si>
  <si>
    <t>Como usuario, quiero restablecer mi contraseña por correo, para no perder acceso a mis datos si olvido mi clave.</t>
  </si>
  <si>
    <t>Recuperación de cuenta vía SMTP</t>
  </si>
  <si>
    <t>Laura</t>
  </si>
  <si>
    <t>Media</t>
  </si>
  <si>
    <t>US005</t>
  </si>
  <si>
    <t>Como vendedor, quiero anotar cada venta realizada, para mantener mi flujo de caja actualizado en tiempo real.</t>
  </si>
  <si>
    <t>Registro de transacciones de ingreso</t>
  </si>
  <si>
    <t>Daniel</t>
  </si>
  <si>
    <t>US006</t>
  </si>
  <si>
    <t>Como dueño, quiero registrar mis compras y pagos a proveedores, para saber cuánto dinero está saliendo del negocio</t>
  </si>
  <si>
    <t>Registro de transacciones de egreso</t>
  </si>
  <si>
    <t>Pedro</t>
  </si>
  <si>
    <t>US007</t>
  </si>
  <si>
    <t>Como administrador, quiero crear categorías personalizadas de gastos, para identificar en qué áreas estoy gastando más.</t>
  </si>
  <si>
    <t>CRUD de categorías contables</t>
  </si>
  <si>
    <t>María</t>
  </si>
  <si>
    <t>US008</t>
  </si>
  <si>
    <t>Como usuario, quiero ver un listado de todos los movimientos del día, para realizar el cierre de caja diario sin errores.</t>
  </si>
  <si>
    <t>Vista de movimientos diarios</t>
  </si>
  <si>
    <t>Lucas</t>
  </si>
  <si>
    <t>US009</t>
  </si>
  <si>
    <t>Como usuario, quiero corregir una transacción mal anotada, para que mi contabilidad siempre sea exacta.</t>
  </si>
  <si>
    <t>Módulo de edición de transacciones</t>
  </si>
  <si>
    <t>US010</t>
  </si>
  <si>
    <t>Como usuario, quiero registrar mis productos con precio y costo, para agilizar el proceso de registro de ventas.</t>
  </si>
  <si>
    <t>Creación de catálogo de productos</t>
  </si>
  <si>
    <t>US011</t>
  </si>
  <si>
    <t>Como encargado, quiero sumar existencias cuando recibo mercadería, para llevar un control preciso de lo que tengo.</t>
  </si>
  <si>
    <t>Entrada de inventario manual</t>
  </si>
  <si>
    <t>US012</t>
  </si>
  <si>
    <t>Como dueño, quiero recibir un aviso cuando un producto se esté agotando, para realizar pedidos a proveedores a tiempo.</t>
  </si>
  <si>
    <t>Sistema de alertas de inventario</t>
  </si>
  <si>
    <t>US013</t>
  </si>
  <si>
    <t>Como administrador, quiero ver cuánto dinero tengo invertido en mercadería, para conocer mi patrimonio actual.</t>
  </si>
  <si>
    <t>Cálculo de valorización de inventario</t>
  </si>
  <si>
    <t>US014</t>
  </si>
  <si>
    <t>Como dueño, quiero ver una gráfica de mis utilidades mensuales, para saber si mi negocio es rentable.</t>
  </si>
  <si>
    <t>Dashboard de métricas financieras</t>
  </si>
  <si>
    <t>US015</t>
  </si>
  <si>
    <t xml:space="preserve">Como administrador, quiero ver un gráfico de pastel de mis gastos por categoría, para identificar fugas de dinero.
</t>
  </si>
  <si>
    <t>Reporte visual de egresos (Pie Chart)</t>
  </si>
  <si>
    <t>US016</t>
  </si>
  <si>
    <t>Como usuario, quiero generar un archivo Excel con mis movimientos, para compartirlo fácilmente con mi contador.</t>
  </si>
  <si>
    <t>Exportación a formato .xlsx</t>
  </si>
  <si>
    <t>Baja</t>
  </si>
  <si>
    <t>US017</t>
  </si>
  <si>
    <t>Como vendedor, quiero ver cuáles son mis productos más vendidos, para enfocarme en lo que mis clientes prefieren.</t>
  </si>
  <si>
    <t>Reporte de volumen de ventas</t>
  </si>
  <si>
    <t>US018</t>
  </si>
  <si>
    <t>Como usuario, quiero anotar una venta como "pendiente de pago", para no perder el rastro de quién me debe dinero.</t>
  </si>
  <si>
    <t>Registro de cuentas por cobrar</t>
  </si>
  <si>
    <t>US019</t>
  </si>
  <si>
    <t>Como administrador, quiero ver una lista de clientes con saldos pendientes, para gestionar los cobros oportunamente.</t>
  </si>
  <si>
    <t>Agenda de deudores y saldos</t>
  </si>
  <si>
    <t>US020</t>
  </si>
  <si>
    <t>Como usuario, quiero registrar pagos parciales de un cliente, para que su saldo pendiente se reduzca automáticamente.</t>
  </si>
  <si>
    <t>Módulo de abonos y recibos</t>
  </si>
  <si>
    <t>US021</t>
  </si>
  <si>
    <t>Como dueño, quiero guardar los datos de contacto de mis proveedores, para realizar pedidos de mercadería rápidamente.</t>
  </si>
  <si>
    <t>Directorio de proveedores</t>
  </si>
  <si>
    <t>US022</t>
  </si>
  <si>
    <t>Como administrador, quiero anotar cuánto dinero le debo a un proveedor, para programar mis pagos y no afectar mi crédito.</t>
  </si>
  <si>
    <t>Registro de cuentas por pagar</t>
  </si>
  <si>
    <t>US023</t>
  </si>
  <si>
    <t>Como usuario, quiero recibir una notificación antes de que venza una factura, para evitar cargos por mora</t>
  </si>
  <si>
    <t>Notificaciones de vencimiento</t>
  </si>
  <si>
    <t>US024</t>
  </si>
  <si>
    <t>Como vendedor, quiero generar un código QR con el monto de la venta, para facilitar el pago digital a mis clientes.</t>
  </si>
  <si>
    <t>Integración de generador de QR</t>
  </si>
  <si>
    <t>US025</t>
  </si>
  <si>
    <t>Como usuario, quiero enviar el recibo de venta por WhatsApp, para ahorrar en papel y dar un mejor servicio al cliente.</t>
  </si>
  <si>
    <t>Compartición de tickets vía API</t>
  </si>
  <si>
    <t>US026</t>
  </si>
  <si>
    <t>Como dueño, quiero que la app me sugiera cuánto comprar basado en el mes anterior, para no sobre-abastecerme.</t>
  </si>
  <si>
    <t>Algoritmo de pronóstico básico</t>
  </si>
  <si>
    <t>US027</t>
  </si>
  <si>
    <t>Como emprendedor, quiero fijar una meta de ganancia mensual, para medir mi crecimiento real mediante una barra de progreso.</t>
  </si>
  <si>
    <t>Definición y seguimiento de metas</t>
  </si>
  <si>
    <t>US028</t>
  </si>
  <si>
    <t>Como usuario, quiero que mis datos se sincronicen en la nube, para no perder mi contabilidad si cambio de teléfono.</t>
  </si>
  <si>
    <t>Sincronización con base de datos Cloud</t>
  </si>
  <si>
    <t>US029</t>
  </si>
  <si>
    <t>Como encargado, quiero descargar mi lista de productos en PDF, para realizar inventarios físicos de forma manual.</t>
  </si>
  <si>
    <t>Generación de reporte PDF</t>
  </si>
  <si>
    <t>US030</t>
  </si>
  <si>
    <t>Como vendedor, quiero registrar ventas sin conexión a internet, para poder trabajar en zonas con mala cobertura.</t>
  </si>
  <si>
    <t>Implementación de persistencia local</t>
  </si>
  <si>
    <t>Nombre del proyecto</t>
  </si>
  <si>
    <t>ESTADOS</t>
  </si>
  <si>
    <t>Product Owner</t>
  </si>
  <si>
    <t>Jordy Enrique Cortez Aguilar</t>
  </si>
  <si>
    <t>Finalizado</t>
  </si>
  <si>
    <t>Fecha de inicio</t>
  </si>
  <si>
    <t>Fecha final</t>
  </si>
  <si>
    <t>Sin empezar</t>
  </si>
  <si>
    <t>Vencido</t>
  </si>
  <si>
    <t>Nombre de la tarea</t>
  </si>
  <si>
    <t>Días</t>
  </si>
  <si>
    <t>Sprint 1: Cimientos Auth &amp; Perfil</t>
  </si>
  <si>
    <t>Jordy</t>
  </si>
  <si>
    <t>Wendy</t>
  </si>
  <si>
    <t>Alex</t>
  </si>
  <si>
    <t>Cristina</t>
  </si>
  <si>
    <t>Sprint 2: Core de Transacciones y Flujo de Caja</t>
  </si>
  <si>
    <t>Sprint 3:  Gestión de Inventario y Activos</t>
  </si>
  <si>
    <t>Sprint 4: Cuentas por Cobrar y Fintech (Pagos)</t>
  </si>
  <si>
    <t>Sprint 5: Supply Chain y Motor de Reportes</t>
  </si>
  <si>
    <t xml:space="preserve">Cristina </t>
  </si>
  <si>
    <t>Exportación a formato .xlsx / PDF</t>
  </si>
  <si>
    <t>Sprint 6: BI, Resiliencia y Predicción</t>
  </si>
  <si>
    <t>Sprint</t>
  </si>
  <si>
    <t>HID</t>
  </si>
  <si>
    <t>Tareas</t>
  </si>
  <si>
    <t>Esfuerzo</t>
  </si>
  <si>
    <t>Esf. Historia</t>
  </si>
  <si>
    <t>Dias laborales</t>
  </si>
  <si>
    <t>Estados</t>
  </si>
  <si>
    <t>Sprint 1</t>
  </si>
  <si>
    <t>a) Esquema de BD Usuarios</t>
  </si>
  <si>
    <t>b) API de Registro</t>
  </si>
  <si>
    <t>c) Validación de fortaleza de clave</t>
  </si>
  <si>
    <t>d) UI de Onboarding</t>
  </si>
  <si>
    <t>a) CRUD de entidad Empresa</t>
  </si>
  <si>
    <t>b) Lógica de subida y compresión de Logo</t>
  </si>
  <si>
    <t>Lo recomendado es que cada sprint tenga un aproximado de 2 a 4 semanas</t>
  </si>
  <si>
    <t>c) Setup de moneda local</t>
  </si>
  <si>
    <t>a) Middleware de Autenticación (JWT)</t>
  </si>
  <si>
    <t>b) Integración SDK Biométrico</t>
  </si>
  <si>
    <t>c) Manejo de persistencia de sesión</t>
  </si>
  <si>
    <t>a) Integración con servicio SMTP</t>
  </si>
  <si>
    <t>b) Generación de Tokens temporales</t>
  </si>
  <si>
    <t>c) UI de cambio de contraseña</t>
  </si>
  <si>
    <t>Esfuerzo por sprint o iteración</t>
  </si>
  <si>
    <t xml:space="preserve">Sprint 2 </t>
  </si>
  <si>
    <t xml:space="preserve">a) Lógica de cálculo de IVA/Impuestos
</t>
  </si>
  <si>
    <t xml:space="preserve">b) Trigger de actualización de saldo
</t>
  </si>
  <si>
    <t xml:space="preserve">c) UI de punto de venta rápido
</t>
  </si>
  <si>
    <t>a) Formulario de egresos</t>
  </si>
  <si>
    <t>b) Lógica de deducción de capital</t>
  </si>
  <si>
    <t>c) Adjuntar foto de comprobante</t>
  </si>
  <si>
    <t>a) CRUD de Categorías</t>
  </si>
  <si>
    <t>b) Asignación de iconos/colores</t>
  </si>
  <si>
    <t>c) Lógica de filtrado por tipo</t>
  </si>
  <si>
    <t>a) Procedimiento almacenado de balance</t>
  </si>
  <si>
    <t>b) Generación de resumen visual</t>
  </si>
  <si>
    <t>c) Bloqueo de edición post-cierre</t>
  </si>
  <si>
    <t>a) Sistema de Logs de auditoría</t>
  </si>
  <si>
    <t>b) Lógica de Re-calculo de saldos históricos</t>
  </si>
  <si>
    <t>Sprint 3</t>
  </si>
  <si>
    <t xml:space="preserve">a) CRUD de Productos
</t>
  </si>
  <si>
    <t xml:space="preserve">b) Lógica de Precios (Costo vs Venta)
</t>
  </si>
  <si>
    <t>c) Galería de imágenes</t>
  </si>
  <si>
    <t>a) Lógica de incremento de existencias</t>
  </si>
  <si>
    <t>FInalizado</t>
  </si>
  <si>
    <t>b) Integración con cámara (Scanner)</t>
  </si>
  <si>
    <t>c) Registro de lote/proveedor</t>
  </si>
  <si>
    <t>a) Job de revisión de umbrales</t>
  </si>
  <si>
    <t>b) Sistema de notificaciones locales (Push)</t>
  </si>
  <si>
    <t>a) Algoritmo de Patrimonio (Stock * Costo)</t>
  </si>
  <si>
    <t xml:space="preserve">  </t>
  </si>
  <si>
    <t>b) Reporte de activos circulantes</t>
  </si>
  <si>
    <t xml:space="preserve">Sprint 4 </t>
  </si>
  <si>
    <t>a) Entidad de Cuentas por Cobrar</t>
  </si>
  <si>
    <t>En Proceso</t>
  </si>
  <si>
    <t>b) Link de venta a perfil de cliente</t>
  </si>
  <si>
    <t>c) Filtros de búsqueda por nombre</t>
  </si>
  <si>
    <t>a) Query de antigüedad de deuda (Aging)</t>
  </si>
  <si>
    <t>b) Filtros de búsqueda por nombre</t>
  </si>
  <si>
    <t>a) Lógica de cobros parciales</t>
  </si>
  <si>
    <t>b) Recalculo de deuda remanente</t>
  </si>
  <si>
    <t>c) Generación de comprobante</t>
  </si>
  <si>
    <t>a) Integración de librería QR Encoder</t>
  </si>
  <si>
    <t>b) Formateo de cadena de pago (Monto/ID)</t>
  </si>
  <si>
    <t>a) Formateo de string para API WhatsApp</t>
  </si>
  <si>
    <t>b) Generador dinámico de tickets (PDF/JPG)</t>
  </si>
  <si>
    <t>Sprint 5</t>
  </si>
  <si>
    <t xml:space="preserve">US021
</t>
  </si>
  <si>
    <t xml:space="preserve">a) CRUD de Proveedores
</t>
  </si>
  <si>
    <t xml:space="preserve">b) Integración de marcado rápido (Teléfono)
</t>
  </si>
  <si>
    <t xml:space="preserve">a) Entidad de pasivos
</t>
  </si>
  <si>
    <t xml:space="preserve">b) Historial de facturas adeudadas
</t>
  </si>
  <si>
    <t>a) Scheduler de alertas de vencimiento</t>
  </si>
  <si>
    <t>b) UI de calendario de pagos</t>
  </si>
  <si>
    <t xml:space="preserve">US16/29
</t>
  </si>
  <si>
    <t>Generación de reportes contables y de inventario en formatos externos (.xlsx / .pdf).</t>
  </si>
  <si>
    <t>a) Engine de exportación (ExcelJS)</t>
  </si>
  <si>
    <t>b) Renderizado de PDF para Inventario</t>
  </si>
  <si>
    <t>c) Limpieza de datos temporales</t>
  </si>
  <si>
    <t>Sprint 6</t>
  </si>
  <si>
    <t>US014/15</t>
  </si>
  <si>
    <t>Como Dueño del Negocio, quiero un tablero visual con gráficas dinámicas de utilidades mensuales y distribución de gastos por categoría, para identificar de un solo vistazo la rentabilidad real de mi empresa y detectar posibles fugas de dinero.</t>
  </si>
  <si>
    <t>a) Integración Chart.js</t>
  </si>
  <si>
    <t>b) Agregación de datos por mes/categoría</t>
  </si>
  <si>
    <t>a) Query de productos Top (Ranking)</t>
  </si>
  <si>
    <t>b) UI de sugerencias de compra</t>
  </si>
  <si>
    <t>a) Setup de SQLite Local</t>
  </si>
  <si>
    <t>b) Queue de transacciones pendientes</t>
  </si>
  <si>
    <t>c) Resolución de conflictos de datos</t>
  </si>
  <si>
    <t>a) Servicio de Sincronización Automática</t>
  </si>
  <si>
    <t>b) Encriptación de datos en tránsito</t>
  </si>
  <si>
    <t xml:space="preserve">US26/27
</t>
  </si>
  <si>
    <t>Como Emprendedor, quiero recibir sugerencias de abastecimiento inteligentes basadas en históricos y visualizar el progreso de mis metas de ganancia, para optimizar mi inversión en mercadería y medir mi crecimiento real mes a mes</t>
  </si>
  <si>
    <t>a) Algoritmo de predicción lineal</t>
  </si>
  <si>
    <t xml:space="preserve">b) Lógica de seguimiento de metas
</t>
  </si>
  <si>
    <t xml:space="preserve">   </t>
  </si>
  <si>
    <t>Plantilla de lista de pendientes del Sprint</t>
  </si>
  <si>
    <t>Elemento de trabajo pendiente</t>
  </si>
  <si>
    <t>Estimado orginal</t>
  </si>
  <si>
    <t>Día 1</t>
  </si>
  <si>
    <t>Día 2</t>
  </si>
  <si>
    <t>Día 3</t>
  </si>
  <si>
    <t>Día 4</t>
  </si>
  <si>
    <t>Día 5</t>
  </si>
  <si>
    <t>Revisión del Sprint</t>
  </si>
  <si>
    <t>Historia de usuario #1</t>
  </si>
  <si>
    <t>Módulo de usuarios y roles</t>
  </si>
  <si>
    <t>Idania</t>
  </si>
  <si>
    <t>Listo</t>
  </si>
  <si>
    <t>Interfaz de inicio de sesión</t>
  </si>
  <si>
    <t>Tutila</t>
  </si>
  <si>
    <t>Cambiar usuario</t>
  </si>
  <si>
    <t>Cerrar sesión</t>
  </si>
  <si>
    <t>Historia de usuario #2</t>
  </si>
  <si>
    <t>Administración de sesiones</t>
  </si>
  <si>
    <t>Módulo de enrolar usuarios</t>
  </si>
  <si>
    <t>Módulo de asignación de permiso</t>
  </si>
  <si>
    <t>En Progreso</t>
  </si>
  <si>
    <t>Visor de eventos (logfile)</t>
  </si>
  <si>
    <t>Historia de usuario #3</t>
  </si>
  <si>
    <t>Módulo de salones y mesas</t>
  </si>
  <si>
    <t>Equipo</t>
  </si>
  <si>
    <t>Historia de usuario #4</t>
  </si>
  <si>
    <t>Módulo de punto de venta(cambiar mesa)</t>
  </si>
  <si>
    <t>Historia de usuario #5</t>
  </si>
  <si>
    <t>Tarea</t>
  </si>
  <si>
    <t>Total</t>
  </si>
  <si>
    <t>Plan de lanzamiento ágil</t>
  </si>
  <si>
    <t>Iteración</t>
  </si>
  <si>
    <t>Fecha de lanzamiento</t>
  </si>
  <si>
    <t>Objetivo</t>
  </si>
  <si>
    <t>En proceso</t>
  </si>
  <si>
    <t>Dias de implementación del sprint</t>
  </si>
  <si>
    <t>Days</t>
  </si>
  <si>
    <t>Totals</t>
  </si>
  <si>
    <t>Restantes sobre la implementación</t>
  </si>
  <si>
    <t>Tendencia actual</t>
  </si>
  <si>
    <t>Progreso ideal</t>
  </si>
  <si>
    <t>Task name - Sprint 1</t>
  </si>
  <si>
    <t>Story ID</t>
  </si>
  <si>
    <t>Responsible</t>
  </si>
  <si>
    <t>Status</t>
  </si>
  <si>
    <t>Est.</t>
  </si>
  <si>
    <t>Trabajo real</t>
  </si>
  <si>
    <t>Task name - Sprint 2</t>
  </si>
  <si>
    <t xml:space="preserve"> US007</t>
  </si>
  <si>
    <t xml:space="preserve"> US008</t>
  </si>
  <si>
    <t xml:space="preserve"> US009</t>
  </si>
  <si>
    <t>listo</t>
  </si>
  <si>
    <t>Task name - Sprint 3</t>
  </si>
  <si>
    <t>Planeado</t>
  </si>
  <si>
    <t>Task name - Sprint 4</t>
  </si>
  <si>
    <t>Task name - Sprint 5</t>
  </si>
  <si>
    <t xml:space="preserve">Cristina
</t>
  </si>
  <si>
    <t>US16/29</t>
  </si>
  <si>
    <t>Task name - Sprint 6</t>
  </si>
  <si>
    <t xml:space="preserve">US26/27
</t>
  </si>
  <si>
    <t>US26/27</t>
  </si>
  <si>
    <t>Aquí podemos hacer el test de cada sprint o por historia de usuario</t>
  </si>
  <si>
    <t>Plan de pruebas</t>
  </si>
  <si>
    <t>Nombre deProyecto</t>
  </si>
  <si>
    <t>Equipo:</t>
  </si>
  <si>
    <t>No. Caso de prueba</t>
  </si>
  <si>
    <t>Versión:</t>
  </si>
  <si>
    <t>Escrito por</t>
  </si>
  <si>
    <t>Descripción:</t>
  </si>
  <si>
    <t>Probado por</t>
  </si>
  <si>
    <t>Probado en:</t>
  </si>
  <si>
    <t>Prueba #</t>
  </si>
  <si>
    <t>Fecha</t>
  </si>
  <si>
    <t>Acción</t>
  </si>
  <si>
    <t>Resultados esperados</t>
  </si>
  <si>
    <t>Resultados actuales</t>
  </si>
  <si>
    <t>Aprobado?</t>
  </si>
  <si>
    <t>Tipo de prueba</t>
  </si>
  <si>
    <t>Inicio de sesión con contraseña errónea</t>
  </si>
  <si>
    <t>Mensaje de error y una redirección al login</t>
  </si>
  <si>
    <t>Me permitió ingresar al sistema</t>
  </si>
  <si>
    <t>Pruebas funcionales</t>
  </si>
  <si>
    <t>Agregar productos con cantidades negativas</t>
  </si>
  <si>
    <t>Mensaje de error y que no continue el proceso</t>
  </si>
  <si>
    <t>Pruebas no funcionales</t>
  </si>
  <si>
    <t>Cree un Plan de pruebas en Smartsheet</t>
  </si>
  <si>
    <t>Hoja de ruta del producto</t>
  </si>
  <si>
    <t>&lt;Nombre de la empresa&gt;</t>
  </si>
  <si>
    <t>2T</t>
  </si>
  <si>
    <t>3T</t>
  </si>
  <si>
    <t>4T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</si>
  <si>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</si>
  <si>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</si>
  <si>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</si>
  <si>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</si>
  <si>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</si>
  <si>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</si>
  <si>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</si>
  <si>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</si>
  <si>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</si>
  <si>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Flujo 1</t>
  </si>
  <si>
    <t>Flujo 2</t>
  </si>
  <si>
    <t>Flujo 3</t>
  </si>
  <si>
    <t>Flujo 4</t>
  </si>
  <si>
    <t>Acta de constitución del proyecto</t>
  </si>
  <si>
    <t>Información general del proyecto</t>
  </si>
  <si>
    <t>Promotor del proyecto</t>
  </si>
  <si>
    <t>Patrocinador del proyecto</t>
  </si>
  <si>
    <t>Gerente del proyecto</t>
  </si>
  <si>
    <t>Interesados</t>
  </si>
  <si>
    <t>Fecha de inicio esperada</t>
  </si>
  <si>
    <t>Fecha de finalización esperada</t>
  </si>
  <si>
    <t>Detalles del proyecto</t>
  </si>
  <si>
    <t>Misión</t>
  </si>
  <si>
    <t>Visión</t>
  </si>
  <si>
    <t>Alcance</t>
  </si>
  <si>
    <t>Mediciones de éxito</t>
  </si>
  <si>
    <t>Fecha:</t>
  </si>
  <si>
    <t xml:space="preserve">Fecha: </t>
  </si>
  <si>
    <t>Cree un Acta de constitución del proyecto en Smartsheet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</si>
</sst>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"/>
    <numFmt numFmtId="165" formatCode="0.0"/>
    <numFmt numFmtId="166" formatCode="D/M/YYYY"/>
    <numFmt numFmtId="167" formatCode="&quot;Sprint &quot;#&quot; Backlog&quot;"/>
  </numFmts>
  <fonts count="37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i/>
      <sz val="14.0"/>
      <color theme="1"/>
      <name val="Calibri"/>
    </font>
    <font>
      <sz val="14.0"/>
      <color theme="1"/>
      <name val="Calibri"/>
    </font>
    <font>
      <b/>
      <i/>
      <sz val="14.0"/>
      <color theme="1"/>
      <name val="Calibri"/>
    </font>
    <font>
      <sz val="10.0"/>
      <color theme="1"/>
      <name val="Arial"/>
    </font>
    <font>
      <sz val="10.0"/>
      <color theme="1"/>
      <name val="Trebuchet MS"/>
    </font>
    <font>
      <b/>
      <sz val="11.0"/>
      <color theme="1"/>
      <name val="Calibri"/>
    </font>
    <font>
      <sz val="9.0"/>
      <color theme="1"/>
      <name val="Arial"/>
    </font>
    <font>
      <sz val="11.0"/>
      <color rgb="FF1F1F1F"/>
      <name val="Arial"/>
    </font>
    <font>
      <sz val="9.0"/>
      <color theme="1"/>
      <name val="Calibri"/>
    </font>
    <font/>
    <font>
      <sz val="14.0"/>
      <color theme="0"/>
      <name val="Calibri"/>
    </font>
    <font>
      <sz val="14.0"/>
      <color rgb="FFFFFFFF"/>
      <name val="Calibri"/>
    </font>
    <font>
      <sz val="12.0"/>
      <color rgb="FF000000"/>
      <name val="Calibri"/>
    </font>
    <font>
      <sz val="10.0"/>
      <color rgb="FF1F1F1F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FFFFFF"/>
      <name val="Arial"/>
    </font>
    <font>
      <sz val="11.0"/>
      <color theme="1"/>
      <name val="Arial"/>
    </font>
    <font>
      <sz val="10.0"/>
      <color rgb="FF1F1F1F"/>
      <name val="Arial"/>
    </font>
    <font>
      <sz val="10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Arial"/>
    </font>
    <font>
      <b/>
      <sz val="12.0"/>
      <color theme="1"/>
      <name val="Calibri"/>
    </font>
    <font>
      <sz val="11.0"/>
      <color theme="1"/>
      <name val="Calibri"/>
      <scheme val="minor"/>
    </font>
    <font>
      <sz val="16.0"/>
      <color theme="1"/>
      <name val="Calibri"/>
    </font>
    <font>
      <b/>
      <sz val="14.0"/>
      <color theme="0"/>
      <name val="Calibri"/>
    </font>
    <font>
      <sz val="14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u/>
      <sz val="20.0"/>
      <color theme="10"/>
      <name val="Calibri"/>
    </font>
    <font>
      <b/>
      <sz val="16.0"/>
      <color theme="1"/>
      <name val="Calibri"/>
    </font>
    <font>
      <u/>
      <sz val="20.0"/>
      <color theme="10"/>
      <name val="Calibri"/>
    </font>
  </fonts>
  <fills count="3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0F243E"/>
        <bgColor rgb="FF0F243E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0070C0"/>
        <bgColor rgb="FF0070C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CCFFCC"/>
        <bgColor rgb="FFCCFFCC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  <fill>
      <patternFill patternType="solid">
        <fgColor rgb="FF31859B"/>
        <bgColor rgb="FF31859B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9594"/>
        <bgColor rgb="FFD99594"/>
      </patternFill>
    </fill>
  </fills>
  <borders count="6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/>
      <top/>
      <bottom/>
    </border>
    <border>
      <right/>
      <top/>
    </border>
    <border>
      <right/>
      <bottom/>
    </border>
    <border>
      <left/>
      <right/>
      <bottom/>
    </border>
    <border>
      <left/>
      <top/>
      <bottom/>
    </border>
    <border>
      <top/>
      <bottom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/>
      <bottom/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right style="medium">
        <color rgb="FFBFBFBF"/>
      </right>
      <bottom style="medium">
        <color rgb="FFBFBFBF"/>
      </bottom>
    </border>
    <border>
      <left style="medium">
        <color rgb="FFBFBFBF"/>
      </left>
      <right style="medium">
        <color rgb="FFBFBFBF"/>
      </right>
    </border>
    <border>
      <right style="medium">
        <color rgb="FFBFBFBF"/>
      </right>
    </border>
    <border>
      <left style="medium">
        <color rgb="FFBFBFBF"/>
      </left>
      <right style="medium">
        <color rgb="FFBFBFBF"/>
      </right>
      <bottom style="medium">
        <color rgb="FFBFBFBF"/>
      </bottom>
    </border>
    <border>
      <left style="medium">
        <color rgb="FFBFBFBF"/>
      </left>
      <top style="medium">
        <color rgb="FFBFBFBF"/>
      </top>
    </border>
    <border>
      <left style="medium">
        <color rgb="FFBFBFBF"/>
      </left>
    </border>
    <border>
      <left/>
      <top/>
    </border>
    <border>
      <top/>
    </border>
    <border>
      <left style="medium">
        <color rgb="FFBFBFBF"/>
      </left>
      <bottom style="medium">
        <color rgb="FFBFBFBF"/>
      </bottom>
    </border>
    <border>
      <left/>
    </border>
    <border>
      <right/>
    </border>
    <border>
      <left style="medium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/>
      <bottom style="medium">
        <color rgb="FFBFBFBF"/>
      </bottom>
    </border>
    <border>
      <left/>
      <bottom/>
    </border>
    <border>
      <bottom/>
    </border>
    <border>
      <left/>
      <right style="medium">
        <color rgb="FFBFBFBF"/>
      </right>
      <bottom style="medium">
        <color rgb="FFBFBFBF"/>
      </bottom>
    </border>
    <border>
      <left style="thin">
        <color rgb="FF000000"/>
      </left>
      <right style="medium">
        <color rgb="FFBFBFBF"/>
      </right>
      <top style="thin">
        <color rgb="FF000000"/>
      </top>
    </border>
    <border>
      <right style="medium">
        <color rgb="FFBFBFBF"/>
      </right>
      <top/>
      <bottom style="medium">
        <color rgb="FFBFBFBF"/>
      </bottom>
    </border>
    <border>
      <left style="thin">
        <color rgb="FF000000"/>
      </left>
      <right style="medium">
        <color rgb="FFBFBFBF"/>
      </right>
    </border>
    <border>
      <left style="thin">
        <color rgb="FF000000"/>
      </left>
      <right style="medium">
        <color rgb="FFBFBFBF"/>
      </right>
      <bottom style="medium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left style="thin">
        <color rgb="FF000000"/>
      </left>
      <right/>
      <top/>
    </border>
    <border>
      <right style="thin">
        <color rgb="FF000000"/>
      </right>
      <top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2" fillId="4" fontId="7" numFmtId="0" xfId="0" applyAlignment="1" applyBorder="1" applyFill="1" applyFont="1">
      <alignment horizontal="left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vertical="center"/>
    </xf>
    <xf borderId="3" fillId="2" fontId="1" numFmtId="0" xfId="0" applyBorder="1" applyFont="1"/>
    <xf borderId="2" fillId="3" fontId="9" numFmtId="0" xfId="0" applyAlignment="1" applyBorder="1" applyFont="1">
      <alignment horizontal="center" shrinkToFit="0" vertical="center" wrapText="1"/>
    </xf>
    <xf borderId="4" fillId="2" fontId="1" numFmtId="0" xfId="0" applyBorder="1" applyFont="1"/>
    <xf borderId="2" fillId="4" fontId="10" numFmtId="0" xfId="0" applyAlignment="1" applyBorder="1" applyFont="1">
      <alignment horizontal="center" shrinkToFit="0" vertical="center" wrapText="1"/>
    </xf>
    <xf borderId="2" fillId="4" fontId="10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left" shrinkToFit="0" wrapText="1"/>
    </xf>
    <xf borderId="2" fillId="2" fontId="12" numFmtId="0" xfId="0" applyAlignment="1" applyBorder="1" applyFont="1">
      <alignment horizontal="center" vertical="center"/>
    </xf>
    <xf borderId="2" fillId="2" fontId="1" numFmtId="0" xfId="0" applyBorder="1" applyFont="1"/>
    <xf borderId="5" fillId="2" fontId="1" numFmtId="0" xfId="0" applyBorder="1" applyFont="1"/>
    <xf borderId="0" fillId="2" fontId="1" numFmtId="0" xfId="0" applyFont="1"/>
    <xf borderId="2" fillId="5" fontId="11" numFmtId="0" xfId="0" applyAlignment="1" applyBorder="1" applyFill="1" applyFont="1">
      <alignment horizontal="left" shrinkToFit="0" wrapText="1"/>
    </xf>
    <xf borderId="0" fillId="0" fontId="11" numFmtId="0" xfId="0" applyAlignment="1" applyFont="1">
      <alignment horizontal="left" shrinkToFit="0" wrapText="1"/>
    </xf>
    <xf borderId="4" fillId="6" fontId="1" numFmtId="0" xfId="0" applyBorder="1" applyFill="1" applyFont="1"/>
    <xf borderId="6" fillId="2" fontId="1" numFmtId="0" xfId="0" applyBorder="1" applyFont="1"/>
    <xf borderId="7" fillId="2" fontId="1" numFmtId="0" xfId="0" applyBorder="1" applyFont="1"/>
    <xf borderId="1" fillId="2" fontId="3" numFmtId="0" xfId="0" applyBorder="1" applyFont="1"/>
    <xf borderId="8" fillId="2" fontId="1" numFmtId="0" xfId="0" applyAlignment="1" applyBorder="1" applyFont="1">
      <alignment horizontal="left"/>
    </xf>
    <xf borderId="9" fillId="0" fontId="13" numFmtId="0" xfId="0" applyBorder="1" applyFont="1"/>
    <xf borderId="4" fillId="0" fontId="13" numFmtId="0" xfId="0" applyBorder="1" applyFont="1"/>
    <xf borderId="2" fillId="7" fontId="14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vertical="center"/>
    </xf>
    <xf borderId="1" fillId="2" fontId="1" numFmtId="16" xfId="0" applyBorder="1" applyFont="1" applyNumberFormat="1"/>
    <xf borderId="2" fillId="7" fontId="15" numFmtId="0" xfId="0" applyAlignment="1" applyBorder="1" applyFont="1">
      <alignment horizontal="center" readingOrder="0" shrinkToFit="0" vertical="center" wrapText="1"/>
    </xf>
    <xf borderId="2" fillId="8" fontId="16" numFmtId="0" xfId="0" applyAlignment="1" applyBorder="1" applyFill="1" applyFont="1">
      <alignment horizontal="center" readingOrder="1" shrinkToFit="0" vertical="center" wrapText="1"/>
    </xf>
    <xf borderId="2" fillId="8" fontId="16" numFmtId="164" xfId="0" applyAlignment="1" applyBorder="1" applyFont="1" applyNumberFormat="1">
      <alignment horizontal="center" readingOrder="1" shrinkToFit="0" vertical="center" wrapText="1"/>
    </xf>
    <xf borderId="2" fillId="0" fontId="17" numFmtId="0" xfId="0" applyAlignment="1" applyBorder="1" applyFont="1">
      <alignment readingOrder="0"/>
    </xf>
    <xf borderId="2" fillId="2" fontId="18" numFmtId="0" xfId="0" applyAlignment="1" applyBorder="1" applyFont="1">
      <alignment horizontal="left" shrinkToFit="0" vertical="center" wrapText="1"/>
    </xf>
    <xf borderId="2" fillId="2" fontId="19" numFmtId="164" xfId="0" applyAlignment="1" applyBorder="1" applyFont="1" applyNumberFormat="1">
      <alignment horizontal="center" readingOrder="1" shrinkToFit="0" vertical="center" wrapText="1"/>
    </xf>
    <xf borderId="2" fillId="2" fontId="19" numFmtId="0" xfId="0" applyAlignment="1" applyBorder="1" applyFont="1">
      <alignment horizontal="center" readingOrder="1" shrinkToFit="0" vertical="center" wrapText="1"/>
    </xf>
    <xf borderId="2" fillId="2" fontId="18" numFmtId="0" xfId="0" applyAlignment="1" applyBorder="1" applyFont="1">
      <alignment horizontal="left" readingOrder="0" shrinkToFit="0" vertical="center" wrapText="1"/>
    </xf>
    <xf borderId="2" fillId="9" fontId="1" numFmtId="0" xfId="0" applyAlignment="1" applyBorder="1" applyFill="1" applyFont="1">
      <alignment horizontal="center"/>
    </xf>
    <xf borderId="2" fillId="9" fontId="16" numFmtId="164" xfId="0" applyAlignment="1" applyBorder="1" applyFont="1" applyNumberFormat="1">
      <alignment horizontal="center" readingOrder="1" shrinkToFit="0" vertical="center" wrapText="1"/>
    </xf>
    <xf borderId="2" fillId="2" fontId="18" numFmtId="0" xfId="0" applyAlignment="1" applyBorder="1" applyFont="1">
      <alignment horizontal="center"/>
    </xf>
    <xf borderId="2" fillId="2" fontId="19" numFmtId="0" xfId="0" applyAlignment="1" applyBorder="1" applyFont="1">
      <alignment horizontal="center" readingOrder="1" shrinkToFit="0" vertical="center" wrapText="1"/>
    </xf>
    <xf borderId="2" fillId="10" fontId="1" numFmtId="0" xfId="0" applyAlignment="1" applyBorder="1" applyFill="1" applyFont="1">
      <alignment horizontal="center"/>
    </xf>
    <xf borderId="2" fillId="10" fontId="16" numFmtId="164" xfId="0" applyAlignment="1" applyBorder="1" applyFont="1" applyNumberFormat="1">
      <alignment horizontal="center" readingOrder="1" shrinkToFit="0" vertical="center" wrapText="1"/>
    </xf>
    <xf borderId="2" fillId="11" fontId="16" numFmtId="0" xfId="0" applyAlignment="1" applyBorder="1" applyFill="1" applyFont="1">
      <alignment horizontal="center" readingOrder="1" shrinkToFit="0" vertical="center" wrapText="1"/>
    </xf>
    <xf borderId="2" fillId="11" fontId="16" numFmtId="164" xfId="0" applyAlignment="1" applyBorder="1" applyFont="1" applyNumberFormat="1">
      <alignment horizontal="center" readingOrder="1" shrinkToFit="0" vertical="center" wrapText="1"/>
    </xf>
    <xf borderId="2" fillId="12" fontId="16" numFmtId="0" xfId="0" applyAlignment="1" applyBorder="1" applyFill="1" applyFont="1">
      <alignment horizontal="center" readingOrder="1" shrinkToFit="0" vertical="center" wrapText="1"/>
    </xf>
    <xf borderId="2" fillId="12" fontId="16" numFmtId="164" xfId="0" applyAlignment="1" applyBorder="1" applyFont="1" applyNumberFormat="1">
      <alignment horizontal="center" readingOrder="1" shrinkToFit="0" vertical="center" wrapText="1"/>
    </xf>
    <xf borderId="2" fillId="4" fontId="16" numFmtId="164" xfId="0" applyAlignment="1" applyBorder="1" applyFont="1" applyNumberFormat="1">
      <alignment horizontal="center" readingOrder="1" shrinkToFit="0" vertical="center" wrapText="1"/>
    </xf>
    <xf borderId="2" fillId="13" fontId="16" numFmtId="0" xfId="0" applyAlignment="1" applyBorder="1" applyFill="1" applyFont="1">
      <alignment horizontal="center" readingOrder="1" shrinkToFit="0" vertical="center" wrapText="1"/>
    </xf>
    <xf borderId="2" fillId="13" fontId="16" numFmtId="164" xfId="0" applyAlignment="1" applyBorder="1" applyFont="1" applyNumberFormat="1">
      <alignment horizontal="center" readingOrder="1" shrinkToFit="0" vertical="center" wrapText="1"/>
    </xf>
    <xf borderId="0" fillId="0" fontId="11" numFmtId="0" xfId="0" applyFont="1"/>
    <xf borderId="1" fillId="2" fontId="1" numFmtId="164" xfId="0" applyBorder="1" applyFont="1" applyNumberFormat="1"/>
    <xf borderId="10" fillId="14" fontId="20" numFmtId="0" xfId="0" applyAlignment="1" applyBorder="1" applyFill="1" applyFont="1">
      <alignment horizontal="center" shrinkToFit="0" vertical="center" wrapText="1"/>
    </xf>
    <xf borderId="11" fillId="14" fontId="20" numFmtId="0" xfId="0" applyAlignment="1" applyBorder="1" applyFont="1">
      <alignment horizontal="center" shrinkToFit="0" vertical="center" wrapText="1"/>
    </xf>
    <xf borderId="11" fillId="14" fontId="20" numFmtId="0" xfId="0" applyAlignment="1" applyBorder="1" applyFont="1">
      <alignment horizontal="left" shrinkToFit="0" vertical="center" wrapText="1"/>
    </xf>
    <xf borderId="12" fillId="14" fontId="20" numFmtId="0" xfId="0" applyAlignment="1" applyBorder="1" applyFont="1">
      <alignment horizontal="left" shrinkToFit="0" vertical="center" wrapText="1"/>
    </xf>
    <xf borderId="1" fillId="14" fontId="20" numFmtId="0" xfId="0" applyAlignment="1" applyBorder="1" applyFont="1">
      <alignment horizontal="center" shrinkToFit="0" vertical="center" wrapText="1"/>
    </xf>
    <xf borderId="13" fillId="15" fontId="21" numFmtId="0" xfId="0" applyAlignment="1" applyBorder="1" applyFill="1" applyFont="1">
      <alignment horizontal="left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left" readingOrder="0" shrinkToFit="0" vertical="center" wrapText="1"/>
    </xf>
    <xf borderId="14" fillId="0" fontId="7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4" fillId="0" fontId="7" numFmtId="1" xfId="0" applyAlignment="1" applyBorder="1" applyFont="1" applyNumberFormat="1">
      <alignment horizontal="left" readingOrder="0" shrinkToFit="0" vertical="center" wrapText="1"/>
    </xf>
    <xf borderId="14" fillId="0" fontId="7" numFmtId="1" xfId="0" applyAlignment="1" applyBorder="1" applyFont="1" applyNumberFormat="1">
      <alignment horizontal="left" shrinkToFit="0" vertical="center" wrapText="1"/>
    </xf>
    <xf borderId="14" fillId="0" fontId="7" numFmtId="165" xfId="0" applyAlignment="1" applyBorder="1" applyFont="1" applyNumberFormat="1">
      <alignment horizontal="left" shrinkToFit="0" vertical="center" wrapText="1"/>
    </xf>
    <xf borderId="2" fillId="2" fontId="18" numFmtId="0" xfId="0" applyAlignment="1" applyBorder="1" applyFont="1">
      <alignment horizontal="left" vertical="center"/>
    </xf>
    <xf borderId="15" fillId="0" fontId="13" numFmtId="0" xfId="0" applyBorder="1" applyFont="1"/>
    <xf borderId="16" fillId="0" fontId="7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17" fillId="0" fontId="13" numFmtId="0" xfId="0" applyBorder="1" applyFont="1"/>
    <xf borderId="18" fillId="0" fontId="7" numFmtId="0" xfId="0" applyAlignment="1" applyBorder="1" applyFont="1">
      <alignment horizontal="left" readingOrder="0" shrinkToFit="0" vertical="center" wrapText="1"/>
    </xf>
    <xf borderId="10" fillId="0" fontId="22" numFmtId="0" xfId="0" applyAlignment="1" applyBorder="1" applyFont="1">
      <alignment readingOrder="0" shrinkToFit="0" wrapText="1"/>
    </xf>
    <xf borderId="14" fillId="0" fontId="23" numFmtId="1" xfId="0" applyAlignment="1" applyBorder="1" applyFont="1" applyNumberFormat="1">
      <alignment horizontal="left" readingOrder="0" shrinkToFit="0" vertical="center" wrapText="1"/>
    </xf>
    <xf borderId="19" fillId="0" fontId="13" numFmtId="0" xfId="0" applyBorder="1" applyFont="1"/>
    <xf borderId="16" fillId="0" fontId="13" numFmtId="0" xfId="0" applyBorder="1" applyFont="1"/>
    <xf borderId="20" fillId="2" fontId="24" numFmtId="0" xfId="0" applyAlignment="1" applyBorder="1" applyFont="1">
      <alignment horizontal="left" shrinkToFit="0" vertical="center" wrapText="1"/>
    </xf>
    <xf borderId="21" fillId="0" fontId="13" numFmtId="0" xfId="0" applyBorder="1" applyFont="1"/>
    <xf borderId="5" fillId="0" fontId="13" numFmtId="0" xfId="0" applyBorder="1" applyFont="1"/>
    <xf borderId="22" fillId="0" fontId="13" numFmtId="0" xfId="0" applyBorder="1" applyFont="1"/>
    <xf borderId="14" fillId="0" fontId="13" numFmtId="0" xfId="0" applyBorder="1" applyFont="1"/>
    <xf borderId="23" fillId="0" fontId="13" numFmtId="0" xfId="0" applyBorder="1" applyFont="1"/>
    <xf borderId="24" fillId="0" fontId="13" numFmtId="0" xfId="0" applyBorder="1" applyFont="1"/>
    <xf borderId="13" fillId="0" fontId="7" numFmtId="0" xfId="0" applyAlignment="1" applyBorder="1" applyFont="1">
      <alignment horizontal="center" readingOrder="0" shrinkToFit="0" vertical="center" wrapText="1"/>
    </xf>
    <xf borderId="18" fillId="4" fontId="7" numFmtId="0" xfId="0" applyAlignment="1" applyBorder="1" applyFont="1">
      <alignment horizontal="left" readingOrder="0" shrinkToFit="0" vertical="center" wrapText="1"/>
    </xf>
    <xf borderId="10" fillId="4" fontId="7" numFmtId="0" xfId="0" applyAlignment="1" applyBorder="1" applyFont="1">
      <alignment horizontal="left" readingOrder="0" shrinkToFit="0" vertical="center" wrapText="1"/>
    </xf>
    <xf borderId="16" fillId="4" fontId="7" numFmtId="0" xfId="0" applyAlignment="1" applyBorder="1" applyFont="1">
      <alignment horizontal="left" readingOrder="0" shrinkToFit="0" vertical="center" wrapText="1"/>
    </xf>
    <xf borderId="14" fillId="4" fontId="7" numFmtId="0" xfId="0" applyAlignment="1" applyBorder="1" applyFont="1">
      <alignment horizontal="left" readingOrder="0" shrinkToFit="0" vertical="center" wrapText="1"/>
    </xf>
    <xf borderId="18" fillId="4" fontId="21" numFmtId="0" xfId="0" applyAlignment="1" applyBorder="1" applyFont="1">
      <alignment horizontal="left" readingOrder="0" shrinkToFit="0" vertical="center" wrapText="1"/>
    </xf>
    <xf borderId="14" fillId="4" fontId="21" numFmtId="0" xfId="0" applyAlignment="1" applyBorder="1" applyFont="1">
      <alignment horizontal="left" readingOrder="0" shrinkToFit="0" vertical="center" wrapText="1"/>
    </xf>
    <xf borderId="0" fillId="0" fontId="25" numFmtId="0" xfId="0" applyAlignment="1" applyFont="1">
      <alignment horizontal="left" readingOrder="0"/>
    </xf>
    <xf borderId="25" fillId="15" fontId="26" numFmtId="0" xfId="0" applyAlignment="1" applyBorder="1" applyFont="1">
      <alignment horizontal="right" shrinkToFit="0" vertical="center" wrapText="1"/>
    </xf>
    <xf borderId="26" fillId="0" fontId="13" numFmtId="0" xfId="0" applyBorder="1" applyFont="1"/>
    <xf borderId="27" fillId="0" fontId="13" numFmtId="0" xfId="0" applyBorder="1" applyFont="1"/>
    <xf borderId="28" fillId="16" fontId="7" numFmtId="1" xfId="0" applyAlignment="1" applyBorder="1" applyFill="1" applyFont="1" applyNumberFormat="1">
      <alignment horizontal="left" shrinkToFit="0" vertical="center" wrapText="1"/>
    </xf>
    <xf borderId="28" fillId="16" fontId="7" numFmtId="165" xfId="0" applyAlignment="1" applyBorder="1" applyFont="1" applyNumberFormat="1">
      <alignment horizontal="left" shrinkToFit="0" vertical="center" wrapText="1"/>
    </xf>
    <xf borderId="29" fillId="0" fontId="13" numFmtId="0" xfId="0" applyBorder="1" applyFont="1"/>
    <xf borderId="30" fillId="0" fontId="13" numFmtId="0" xfId="0" applyBorder="1" applyFont="1"/>
    <xf borderId="6" fillId="0" fontId="13" numFmtId="0" xfId="0" applyBorder="1" applyFont="1"/>
    <xf borderId="15" fillId="0" fontId="7" numFmtId="0" xfId="0" applyAlignment="1" applyBorder="1" applyFont="1">
      <alignment horizontal="left" readingOrder="0" shrinkToFit="0" vertical="center" wrapText="1"/>
    </xf>
    <xf borderId="13" fillId="4" fontId="21" numFmtId="0" xfId="0" applyAlignment="1" applyBorder="1" applyFont="1">
      <alignment horizontal="left" readingOrder="0" shrinkToFit="0" vertical="center" wrapText="1"/>
    </xf>
    <xf borderId="15" fillId="4" fontId="21" numFmtId="0" xfId="0" applyAlignment="1" applyBorder="1" applyFont="1">
      <alignment horizontal="left" readingOrder="0" shrinkToFit="0" vertical="center" wrapText="1"/>
    </xf>
    <xf borderId="14" fillId="4" fontId="7" numFmtId="1" xfId="0" applyAlignment="1" applyBorder="1" applyFont="1" applyNumberFormat="1">
      <alignment horizontal="left" shrinkToFit="0" vertical="center" wrapText="1"/>
    </xf>
    <xf borderId="14" fillId="4" fontId="7" numFmtId="165" xfId="0" applyAlignment="1" applyBorder="1" applyFont="1" applyNumberFormat="1">
      <alignment horizontal="left" shrinkToFit="0" vertical="center" wrapText="1"/>
    </xf>
    <xf borderId="10" fillId="0" fontId="7" numFmtId="1" xfId="0" applyAlignment="1" applyBorder="1" applyFont="1" applyNumberFormat="1">
      <alignment horizontal="left" shrinkToFit="0" vertical="center" wrapText="1"/>
    </xf>
    <xf borderId="10" fillId="0" fontId="7" numFmtId="165" xfId="0" applyAlignment="1" applyBorder="1" applyFont="1" applyNumberFormat="1">
      <alignment horizontal="left" shrinkToFit="0" vertical="center" wrapText="1"/>
    </xf>
    <xf borderId="13" fillId="4" fontId="7" numFmtId="0" xfId="0" applyAlignment="1" applyBorder="1" applyFont="1">
      <alignment horizontal="left" readingOrder="0" shrinkToFit="0" vertical="center" wrapText="1"/>
    </xf>
    <xf borderId="10" fillId="0" fontId="23" numFmtId="1" xfId="0" applyAlignment="1" applyBorder="1" applyFont="1" applyNumberFormat="1">
      <alignment horizontal="left" shrinkToFit="0" vertical="center" wrapText="1"/>
    </xf>
    <xf borderId="10" fillId="0" fontId="23" numFmtId="1" xfId="0" applyAlignment="1" applyBorder="1" applyFont="1" applyNumberFormat="1">
      <alignment horizontal="left" readingOrder="0" shrinkToFit="0" vertical="center" wrapText="1"/>
    </xf>
    <xf borderId="10" fillId="4" fontId="21" numFmtId="0" xfId="0" applyAlignment="1" applyBorder="1" applyFont="1">
      <alignment horizontal="left" readingOrder="0" shrinkToFit="0" vertical="center" wrapText="1"/>
    </xf>
    <xf borderId="13" fillId="4" fontId="7" numFmtId="0" xfId="0" applyAlignment="1" applyBorder="1" applyFont="1">
      <alignment horizontal="left" shrinkToFit="0" vertical="center" wrapText="1"/>
    </xf>
    <xf borderId="10" fillId="0" fontId="7" numFmtId="1" xfId="0" applyAlignment="1" applyBorder="1" applyFont="1" applyNumberFormat="1">
      <alignment horizontal="left" readingOrder="0" shrinkToFit="0" vertical="center" wrapText="1"/>
    </xf>
    <xf borderId="31" fillId="16" fontId="7" numFmtId="1" xfId="0" applyAlignment="1" applyBorder="1" applyFont="1" applyNumberFormat="1">
      <alignment horizontal="left" shrinkToFit="0" vertical="center" wrapText="1"/>
    </xf>
    <xf borderId="31" fillId="16" fontId="7" numFmtId="165" xfId="0" applyAlignment="1" applyBorder="1" applyFont="1" applyNumberFormat="1">
      <alignment horizontal="left" shrinkToFit="0" vertical="center" wrapText="1"/>
    </xf>
    <xf borderId="14" fillId="0" fontId="22" numFmtId="0" xfId="0" applyAlignment="1" applyBorder="1" applyFont="1">
      <alignment horizontal="left" readingOrder="0" shrinkToFit="0" vertical="center" wrapText="1"/>
    </xf>
    <xf borderId="13" fillId="0" fontId="22" numFmtId="0" xfId="0" applyAlignment="1" applyBorder="1" applyFont="1">
      <alignment readingOrder="0"/>
    </xf>
    <xf borderId="32" fillId="4" fontId="7" numFmtId="0" xfId="0" applyAlignment="1" applyBorder="1" applyFont="1">
      <alignment horizontal="left" shrinkToFit="0" vertical="center" wrapText="1"/>
    </xf>
    <xf borderId="33" fillId="17" fontId="7" numFmtId="1" xfId="0" applyAlignment="1" applyBorder="1" applyFill="1" applyFont="1" applyNumberFormat="1">
      <alignment horizontal="left" shrinkToFit="0" vertical="center" wrapText="1"/>
    </xf>
    <xf borderId="34" fillId="0" fontId="13" numFmtId="0" xfId="0" applyBorder="1" applyFont="1"/>
    <xf borderId="35" fillId="0" fontId="13" numFmtId="0" xfId="0" applyBorder="1" applyFont="1"/>
    <xf borderId="13" fillId="4" fontId="21" numFmtId="0" xfId="0" applyAlignment="1" applyBorder="1" applyFont="1">
      <alignment horizontal="right" readingOrder="0" shrinkToFit="0" vertical="center" wrapText="1"/>
    </xf>
    <xf borderId="33" fillId="4" fontId="7" numFmtId="1" xfId="0" applyAlignment="1" applyBorder="1" applyFont="1" applyNumberFormat="1">
      <alignment horizontal="left" shrinkToFit="0" vertical="center" wrapText="1"/>
    </xf>
    <xf borderId="16" fillId="4" fontId="21" numFmtId="0" xfId="0" applyAlignment="1" applyBorder="1" applyFont="1">
      <alignment horizontal="right" readingOrder="0" shrinkToFit="0" vertical="center" wrapText="1"/>
    </xf>
    <xf borderId="13" fillId="15" fontId="21" numFmtId="0" xfId="0" applyAlignment="1" applyBorder="1" applyFont="1">
      <alignment horizontal="left" readingOrder="0" shrinkToFit="0" vertical="center" wrapText="1"/>
    </xf>
    <xf borderId="1" fillId="2" fontId="27" numFmtId="0" xfId="0" applyBorder="1" applyFont="1"/>
    <xf borderId="18" fillId="0" fontId="7" numFmtId="0" xfId="0" applyAlignment="1" applyBorder="1" applyFont="1">
      <alignment horizontal="center" readingOrder="0" shrinkToFit="0" vertical="center" wrapText="1"/>
    </xf>
    <xf borderId="18" fillId="4" fontId="21" numFmtId="0" xfId="0" applyAlignment="1" applyBorder="1" applyFont="1">
      <alignment horizontal="center" readingOrder="0" shrinkToFit="0" vertical="center" wrapText="1"/>
    </xf>
    <xf borderId="28" fillId="0" fontId="7" numFmtId="1" xfId="0" applyAlignment="1" applyBorder="1" applyFont="1" applyNumberFormat="1">
      <alignment horizontal="left" shrinkToFit="0" vertical="center" wrapText="1"/>
    </xf>
    <xf borderId="18" fillId="4" fontId="21" numFmtId="0" xfId="0" applyAlignment="1" applyBorder="1" applyFont="1">
      <alignment horizontal="right" readingOrder="0" shrinkToFit="0" vertical="center" wrapText="1"/>
    </xf>
    <xf borderId="36" fillId="18" fontId="7" numFmtId="0" xfId="0" applyAlignment="1" applyBorder="1" applyFill="1" applyFont="1">
      <alignment horizontal="left" readingOrder="0" shrinkToFit="0" vertical="center" wrapText="1"/>
    </xf>
    <xf borderId="37" fillId="0" fontId="13" numFmtId="0" xfId="0" applyBorder="1" applyFont="1"/>
    <xf borderId="10" fillId="15" fontId="21" numFmtId="0" xfId="0" applyAlignment="1" applyBorder="1" applyFont="1">
      <alignment horizontal="left" readingOrder="0" shrinkToFit="0" vertical="center" wrapText="1"/>
    </xf>
    <xf borderId="38" fillId="0" fontId="13" numFmtId="0" xfId="0" applyBorder="1" applyFont="1"/>
    <xf borderId="13" fillId="18" fontId="7" numFmtId="0" xfId="0" applyAlignment="1" applyBorder="1" applyFont="1">
      <alignment horizontal="left" readingOrder="0" shrinkToFit="0" vertical="center" wrapText="1"/>
    </xf>
    <xf borderId="0" fillId="0" fontId="25" numFmtId="0" xfId="0" applyAlignment="1" applyFont="1">
      <alignment readingOrder="0"/>
    </xf>
    <xf borderId="13" fillId="4" fontId="21" numFmtId="0" xfId="0" applyAlignment="1" applyBorder="1" applyFont="1">
      <alignment horizontal="center" readingOrder="0" shrinkToFit="0" vertical="center" wrapText="1"/>
    </xf>
    <xf borderId="13" fillId="0" fontId="25" numFmtId="0" xfId="0" applyAlignment="1" applyBorder="1" applyFont="1">
      <alignment readingOrder="0"/>
    </xf>
    <xf borderId="10" fillId="0" fontId="25" numFmtId="0" xfId="0" applyAlignment="1" applyBorder="1" applyFont="1">
      <alignment horizontal="left" readingOrder="0"/>
    </xf>
    <xf borderId="10" fillId="0" fontId="25" numFmtId="0" xfId="0" applyBorder="1" applyFont="1"/>
    <xf borderId="10" fillId="0" fontId="28" numFmtId="0" xfId="0" applyAlignment="1" applyBorder="1" applyFont="1">
      <alignment horizontal="left"/>
    </xf>
    <xf borderId="1" fillId="2" fontId="1" numFmtId="0" xfId="0" applyAlignment="1" applyBorder="1" applyFont="1">
      <alignment readingOrder="0"/>
    </xf>
    <xf borderId="1" fillId="2" fontId="1" numFmtId="1" xfId="0" applyBorder="1" applyFont="1" applyNumberFormat="1"/>
    <xf borderId="1" fillId="2" fontId="1" numFmtId="0" xfId="0" applyAlignment="1" applyBorder="1" applyFont="1">
      <alignment horizontal="center"/>
    </xf>
    <xf borderId="0" fillId="0" fontId="11" numFmtId="0" xfId="0" applyFont="1"/>
    <xf borderId="0" fillId="0" fontId="11" numFmtId="0" xfId="0" applyFont="1"/>
    <xf borderId="0" fillId="0" fontId="1" numFmtId="0" xfId="0" applyAlignment="1" applyFont="1">
      <alignment horizontal="center"/>
    </xf>
    <xf borderId="2" fillId="3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shrinkToFit="0" vertical="center" wrapText="1"/>
    </xf>
    <xf borderId="2" fillId="19" fontId="3" numFmtId="0" xfId="0" applyBorder="1" applyFill="1" applyFont="1"/>
    <xf borderId="2" fillId="19" fontId="1" numFmtId="0" xfId="0" applyBorder="1" applyFont="1"/>
    <xf borderId="2" fillId="19" fontId="1" numFmtId="0" xfId="0" applyAlignment="1" applyBorder="1" applyFont="1">
      <alignment horizontal="center"/>
    </xf>
    <xf borderId="2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9" fillId="19" fontId="3" numFmtId="0" xfId="0" applyBorder="1" applyFont="1"/>
    <xf borderId="39" fillId="19" fontId="1" numFmtId="0" xfId="0" applyBorder="1" applyFont="1"/>
    <xf borderId="39" fillId="19" fontId="1" numFmtId="0" xfId="0" applyAlignment="1" applyBorder="1" applyFont="1">
      <alignment horizontal="center"/>
    </xf>
    <xf borderId="2" fillId="0" fontId="7" numFmtId="0" xfId="0" applyAlignment="1" applyBorder="1" applyFont="1">
      <alignment horizontal="center" vertical="top"/>
    </xf>
    <xf borderId="14" fillId="0" fontId="7" numFmtId="0" xfId="0" applyAlignment="1" applyBorder="1" applyFont="1">
      <alignment horizontal="left" shrinkToFit="0" vertical="center" wrapText="1"/>
    </xf>
    <xf borderId="17" fillId="0" fontId="7" numFmtId="0" xfId="0" applyAlignment="1" applyBorder="1" applyFont="1">
      <alignment horizontal="left" shrinkToFit="0" vertical="center" wrapText="1"/>
    </xf>
    <xf borderId="2" fillId="0" fontId="1" numFmtId="0" xfId="0" applyBorder="1" applyFont="1"/>
    <xf borderId="2" fillId="20" fontId="1" numFmtId="0" xfId="0" applyAlignment="1" applyBorder="1" applyFill="1" applyFont="1">
      <alignment horizontal="center"/>
    </xf>
    <xf borderId="20" fillId="2" fontId="29" numFmtId="0" xfId="0" applyAlignment="1" applyBorder="1" applyFont="1">
      <alignment horizontal="left" vertical="center"/>
    </xf>
    <xf borderId="40" fillId="0" fontId="13" numFmtId="0" xfId="0" applyBorder="1" applyFont="1"/>
    <xf borderId="41" fillId="0" fontId="13" numFmtId="0" xfId="0" applyBorder="1" applyFont="1"/>
    <xf borderId="42" fillId="0" fontId="13" numFmtId="0" xfId="0" applyBorder="1" applyFont="1"/>
    <xf borderId="43" fillId="21" fontId="30" numFmtId="0" xfId="0" applyAlignment="1" applyBorder="1" applyFill="1" applyFont="1">
      <alignment horizontal="center" shrinkToFit="0" wrapText="1"/>
    </xf>
    <xf borderId="2" fillId="0" fontId="1" numFmtId="166" xfId="0" applyBorder="1" applyFont="1" applyNumberFormat="1"/>
    <xf borderId="0" fillId="0" fontId="7" numFmtId="0" xfId="0" applyAlignment="1" applyFont="1">
      <alignment vertical="top"/>
    </xf>
    <xf borderId="0" fillId="0" fontId="31" numFmtId="167" xfId="0" applyAlignment="1" applyFont="1" applyNumberFormat="1">
      <alignment horizontal="left" vertical="top"/>
    </xf>
    <xf borderId="0" fillId="0" fontId="31" numFmtId="167" xfId="0" applyAlignment="1" applyFont="1" applyNumberFormat="1">
      <alignment horizontal="center" vertical="top"/>
    </xf>
    <xf borderId="0" fillId="0" fontId="7" numFmtId="0" xfId="0" applyAlignment="1" applyFont="1">
      <alignment horizontal="center" vertical="top"/>
    </xf>
    <xf borderId="1" fillId="22" fontId="32" numFmtId="0" xfId="0" applyAlignment="1" applyBorder="1" applyFill="1" applyFont="1">
      <alignment vertical="top"/>
    </xf>
    <xf borderId="0" fillId="0" fontId="7" numFmtId="0" xfId="0" applyAlignment="1" applyFont="1">
      <alignment horizontal="center" readingOrder="0" vertical="top"/>
    </xf>
    <xf borderId="1" fillId="22" fontId="7" numFmtId="0" xfId="0" applyAlignment="1" applyBorder="1" applyFont="1">
      <alignment horizontal="center" vertical="top"/>
    </xf>
    <xf borderId="1" fillId="22" fontId="32" numFmtId="0" xfId="0" applyAlignment="1" applyBorder="1" applyFont="1">
      <alignment horizontal="center" vertical="top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33" numFmtId="0" xfId="0" applyAlignment="1" applyFont="1">
      <alignment horizontal="center"/>
    </xf>
    <xf borderId="0" fillId="0" fontId="7" numFmtId="1" xfId="0" applyAlignment="1" applyFont="1" applyNumberFormat="1">
      <alignment readingOrder="0"/>
    </xf>
    <xf borderId="0" fillId="0" fontId="7" numFmtId="1" xfId="0" applyAlignment="1" applyFont="1" applyNumberFormat="1">
      <alignment horizontal="center"/>
    </xf>
    <xf borderId="3" fillId="22" fontId="32" numFmtId="0" xfId="0" applyAlignment="1" applyBorder="1" applyFont="1">
      <alignment vertical="top"/>
    </xf>
    <xf borderId="3" fillId="22" fontId="32" numFmtId="0" xfId="0" applyAlignment="1" applyBorder="1" applyFont="1">
      <alignment horizontal="center" vertical="top"/>
    </xf>
    <xf borderId="3" fillId="23" fontId="7" numFmtId="0" xfId="0" applyAlignment="1" applyBorder="1" applyFill="1" applyFont="1">
      <alignment vertical="top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1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1" fillId="22" fontId="7" numFmtId="0" xfId="0" applyAlignment="1" applyBorder="1" applyFont="1">
      <alignment vertical="top"/>
    </xf>
    <xf borderId="0" fillId="0" fontId="7" numFmtId="1" xfId="0" applyFont="1" applyNumberFormat="1"/>
    <xf borderId="3" fillId="22" fontId="32" numFmtId="0" xfId="0" applyAlignment="1" applyBorder="1" applyFont="1">
      <alignment readingOrder="0" vertical="top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4" fontId="2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readingOrder="0" vertical="center"/>
    </xf>
    <xf borderId="2" fillId="4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2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 shrinkToFit="0" vertical="center" wrapText="1"/>
    </xf>
    <xf borderId="0" fillId="0" fontId="7" numFmtId="2" xfId="0" applyAlignment="1" applyFont="1" applyNumberFormat="1">
      <alignment horizontal="center"/>
    </xf>
    <xf borderId="44" fillId="0" fontId="22" numFmtId="0" xfId="0" applyAlignment="1" applyBorder="1" applyFont="1">
      <alignment horizontal="left" readingOrder="0" shrinkToFit="0" vertical="center" wrapText="1"/>
    </xf>
    <xf borderId="44" fillId="0" fontId="7" numFmtId="0" xfId="0" applyAlignment="1" applyBorder="1" applyFont="1">
      <alignment horizontal="center" readingOrder="0" vertical="center"/>
    </xf>
    <xf borderId="45" fillId="0" fontId="7" numFmtId="0" xfId="0" applyAlignment="1" applyBorder="1" applyFont="1">
      <alignment horizontal="center" readingOrder="0" vertical="center"/>
    </xf>
    <xf borderId="46" fillId="0" fontId="7" numFmtId="0" xfId="0" applyAlignment="1" applyBorder="1" applyFont="1">
      <alignment horizontal="center" vertical="center"/>
    </xf>
    <xf borderId="45" fillId="0" fontId="7" numFmtId="0" xfId="0" applyAlignment="1" applyBorder="1" applyFont="1">
      <alignment horizontal="center" readingOrder="0" shrinkToFit="0" vertical="center" wrapText="1"/>
    </xf>
    <xf borderId="36" fillId="0" fontId="7" numFmtId="0" xfId="0" applyAlignment="1" applyBorder="1" applyFont="1">
      <alignment horizontal="center" vertical="center"/>
    </xf>
    <xf borderId="46" fillId="0" fontId="7" numFmtId="0" xfId="0" applyAlignment="1" applyBorder="1" applyFont="1">
      <alignment horizontal="center" readingOrder="0" vertical="center"/>
    </xf>
    <xf borderId="47" fillId="0" fontId="7" numFmtId="0" xfId="0" applyAlignment="1" applyBorder="1" applyFont="1">
      <alignment horizontal="center" vertical="center"/>
    </xf>
    <xf borderId="0" fillId="0" fontId="7" numFmtId="0" xfId="0" applyAlignment="1" applyFont="1">
      <alignment readingOrder="0" vertical="top"/>
    </xf>
    <xf borderId="38" fillId="0" fontId="7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7" numFmtId="165" xfId="0" applyFont="1" applyNumberFormat="1"/>
    <xf borderId="0" fillId="0" fontId="7" numFmtId="165" xfId="0" applyAlignment="1" applyFont="1" applyNumberFormat="1">
      <alignment horizontal="center"/>
    </xf>
    <xf borderId="2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vertical="bottom"/>
    </xf>
    <xf borderId="1" fillId="2" fontId="1" numFmtId="166" xfId="0" applyBorder="1" applyFont="1" applyNumberFormat="1"/>
    <xf borderId="2" fillId="19" fontId="5" numFmtId="0" xfId="0" applyBorder="1" applyFont="1"/>
    <xf borderId="2" fillId="19" fontId="5" numFmtId="0" xfId="0" applyAlignment="1" applyBorder="1" applyFont="1">
      <alignment horizontal="left"/>
    </xf>
    <xf borderId="47" fillId="0" fontId="1" numFmtId="0" xfId="0" applyAlignment="1" applyBorder="1" applyFont="1">
      <alignment horizontal="center"/>
    </xf>
    <xf borderId="48" fillId="0" fontId="13" numFmtId="0" xfId="0" applyBorder="1" applyFont="1"/>
    <xf borderId="1" fillId="2" fontId="5" numFmtId="0" xfId="0" applyBorder="1" applyFont="1"/>
    <xf borderId="1" fillId="2" fontId="5" numFmtId="0" xfId="0" applyAlignment="1" applyBorder="1" applyFont="1">
      <alignment horizontal="left"/>
    </xf>
    <xf borderId="2" fillId="24" fontId="5" numFmtId="0" xfId="0" applyAlignment="1" applyBorder="1" applyFill="1" applyFont="1">
      <alignment horizontal="center"/>
    </xf>
    <xf borderId="2" fillId="24" fontId="5" numFmtId="0" xfId="0" applyAlignment="1" applyBorder="1" applyFont="1">
      <alignment horizontal="center" shrinkToFit="0" wrapText="1"/>
    </xf>
    <xf borderId="2" fillId="0" fontId="1" numFmtId="16" xfId="0" applyBorder="1" applyFont="1" applyNumberFormat="1"/>
    <xf borderId="49" fillId="25" fontId="1" numFmtId="0" xfId="0" applyAlignment="1" applyBorder="1" applyFill="1" applyFont="1">
      <alignment horizontal="center" shrinkToFit="0" vertical="center" wrapText="1"/>
    </xf>
    <xf borderId="50" fillId="0" fontId="13" numFmtId="0" xfId="0" applyBorder="1" applyFont="1"/>
    <xf borderId="51" fillId="0" fontId="13" numFmtId="0" xfId="0" applyBorder="1" applyFont="1"/>
    <xf borderId="52" fillId="17" fontId="1" numFmtId="0" xfId="0" applyAlignment="1" applyBorder="1" applyFont="1">
      <alignment horizontal="center" shrinkToFit="0" vertical="center" wrapText="1"/>
    </xf>
    <xf borderId="20" fillId="12" fontId="34" numFmtId="0" xfId="0" applyAlignment="1" applyBorder="1" applyFont="1">
      <alignment horizontal="center" vertical="center"/>
    </xf>
    <xf borderId="20" fillId="26" fontId="14" numFmtId="0" xfId="0" applyAlignment="1" applyBorder="1" applyFill="1" applyFont="1">
      <alignment horizontal="center" vertical="center"/>
    </xf>
    <xf borderId="53" fillId="0" fontId="13" numFmtId="0" xfId="0" applyBorder="1" applyFont="1"/>
    <xf borderId="47" fillId="27" fontId="5" numFmtId="0" xfId="0" applyAlignment="1" applyBorder="1" applyFill="1" applyFont="1">
      <alignment horizontal="center"/>
    </xf>
    <xf borderId="54" fillId="0" fontId="13" numFmtId="0" xfId="0" applyBorder="1" applyFont="1"/>
    <xf borderId="55" fillId="0" fontId="13" numFmtId="0" xfId="0" applyBorder="1" applyFont="1"/>
    <xf borderId="2" fillId="20" fontId="5" numFmtId="0" xfId="0" applyAlignment="1" applyBorder="1" applyFont="1">
      <alignment horizontal="center"/>
    </xf>
    <xf borderId="56" fillId="0" fontId="5" numFmtId="0" xfId="0" applyAlignment="1" applyBorder="1" applyFont="1">
      <alignment horizontal="center" vertical="center"/>
    </xf>
    <xf borderId="57" fillId="0" fontId="13" numFmtId="0" xfId="0" applyBorder="1" applyFont="1"/>
    <xf borderId="58" fillId="0" fontId="13" numFmtId="0" xfId="0" applyBorder="1" applyFont="1"/>
    <xf borderId="56" fillId="28" fontId="1" numFmtId="0" xfId="0" applyAlignment="1" applyBorder="1" applyFill="1" applyFont="1">
      <alignment horizontal="center"/>
    </xf>
    <xf borderId="59" fillId="0" fontId="13" numFmtId="0" xfId="0" applyBorder="1" applyFont="1"/>
    <xf borderId="60" fillId="0" fontId="13" numFmtId="0" xfId="0" applyBorder="1" applyFont="1"/>
    <xf borderId="61" fillId="0" fontId="13" numFmtId="0" xfId="0" applyBorder="1" applyFont="1"/>
    <xf borderId="59" fillId="0" fontId="5" numFmtId="0" xfId="0" applyAlignment="1" applyBorder="1" applyFont="1">
      <alignment horizontal="center" vertical="center"/>
    </xf>
    <xf borderId="1" fillId="3" fontId="35" numFmtId="0" xfId="0" applyBorder="1" applyFont="1"/>
    <xf borderId="1" fillId="3" fontId="1" numFmtId="0" xfId="0" applyBorder="1" applyFont="1"/>
    <xf borderId="49" fillId="2" fontId="29" numFmtId="0" xfId="0" applyAlignment="1" applyBorder="1" applyFont="1">
      <alignment horizontal="center" vertical="center"/>
    </xf>
    <xf borderId="62" fillId="2" fontId="1" numFmtId="0" xfId="0" applyAlignment="1" applyBorder="1" applyFont="1">
      <alignment horizontal="center" vertical="center"/>
    </xf>
    <xf borderId="63" fillId="0" fontId="13" numFmtId="0" xfId="0" applyBorder="1" applyFont="1"/>
    <xf borderId="64" fillId="0" fontId="13" numFmtId="0" xfId="0" applyBorder="1" applyFont="1"/>
    <xf borderId="65" fillId="0" fontId="13" numFmtId="0" xfId="0" applyBorder="1" applyFont="1"/>
    <xf borderId="66" fillId="2" fontId="1" numFmtId="0" xfId="0" applyBorder="1" applyFont="1"/>
    <xf borderId="20" fillId="29" fontId="3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'Plan de proyecto (3)'!$B$7:$B$39</c:f>
            </c:strRef>
          </c:cat>
          <c:val>
            <c:numRef>
              <c:f>'Plan de proyecto (3)'!$D$7:$D$39</c:f>
              <c:numCache/>
            </c:numRef>
          </c:val>
        </c:ser>
        <c:ser>
          <c:idx val="1"/>
          <c:order val="1"/>
          <c:tx>
            <c:v>Días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A6A6A6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A6A6A6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A6A6A6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'Plan de proyecto (3)'!$B$7:$B$39</c:f>
            </c:strRef>
          </c:cat>
          <c:val>
            <c:numRef>
              <c:f>'Plan de proyecto (3)'!$F$8:$F$39</c:f>
              <c:numCache/>
            </c:numRef>
          </c:val>
        </c:ser>
        <c:overlap val="100"/>
        <c:axId val="765462026"/>
        <c:axId val="526271606"/>
      </c:barChart>
      <c:catAx>
        <c:axId val="7654620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26271606"/>
      </c:catAx>
      <c:valAx>
        <c:axId val="5262716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5462026"/>
        <c:crosses val="max"/>
        <c:majorUnit val="15.0"/>
        <c:minorUnit val="1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'SB(WIP)'!$E$6:$J$6</c:f>
            </c:strRef>
          </c:cat>
          <c:val>
            <c:numRef>
              <c:f>'SB(WIP)'!$D$26:$J$26</c:f>
              <c:numCache/>
            </c:numRef>
          </c:val>
          <c:smooth val="0"/>
        </c:ser>
        <c:axId val="26186901"/>
        <c:axId val="203968079"/>
      </c:lineChart>
      <c:catAx>
        <c:axId val="26186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968079"/>
      </c:catAx>
      <c:valAx>
        <c:axId val="203968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18690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Tendencia actual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'Sp1'!$F$15:$P$15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'Sp1'!$F$16:$P$16</c:f>
              <c:numCache/>
            </c:numRef>
          </c:val>
          <c:smooth val="0"/>
        </c:ser>
        <c:axId val="1030353836"/>
        <c:axId val="558186606"/>
      </c:lineChart>
      <c:catAx>
        <c:axId val="1030353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8186606"/>
      </c:catAx>
      <c:valAx>
        <c:axId val="558186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Trabajo restante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035383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Tendencia actual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'Sp2'!$F$15:$V$15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'Sp2'!$F$16:$V$16</c:f>
              <c:numCache/>
            </c:numRef>
          </c:val>
          <c:smooth val="0"/>
        </c:ser>
        <c:axId val="1080141914"/>
        <c:axId val="1841650169"/>
      </c:lineChart>
      <c:catAx>
        <c:axId val="1080141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1650169"/>
      </c:catAx>
      <c:valAx>
        <c:axId val="1841650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Trabajo restante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014191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Tendencia actual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'Sp3'!$F$15:$V$15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'Sp3'!$F$16:$V$16</c:f>
              <c:numCache/>
            </c:numRef>
          </c:val>
          <c:smooth val="0"/>
        </c:ser>
        <c:axId val="1826678566"/>
        <c:axId val="209860726"/>
      </c:lineChart>
      <c:catAx>
        <c:axId val="1826678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860726"/>
      </c:catAx>
      <c:valAx>
        <c:axId val="209860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Trabajo restante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667856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Tendencia actual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'Sp4'!$F$15:$O$15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'Sp4'!$F$16:$O$16</c:f>
              <c:numCache/>
            </c:numRef>
          </c:val>
          <c:smooth val="0"/>
        </c:ser>
        <c:axId val="664870775"/>
        <c:axId val="1005374834"/>
      </c:lineChart>
      <c:catAx>
        <c:axId val="664870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5374834"/>
      </c:catAx>
      <c:valAx>
        <c:axId val="1005374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Trabajo restante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487077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Tendencia actual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'Sp5'!$F$15:$U$15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'Sp5'!$F$16:$U$16</c:f>
              <c:numCache/>
            </c:numRef>
          </c:val>
          <c:smooth val="0"/>
        </c:ser>
        <c:axId val="1461335330"/>
        <c:axId val="1957591500"/>
      </c:lineChart>
      <c:catAx>
        <c:axId val="1461335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7591500"/>
      </c:catAx>
      <c:valAx>
        <c:axId val="1957591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Trabajo restante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133533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Tendencia actual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'Sp6'!$F$15:$V$15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'Sp6'!$F$16:$V$16</c:f>
              <c:numCache/>
            </c:numRef>
          </c:val>
          <c:smooth val="0"/>
        </c:ser>
        <c:axId val="1200823307"/>
        <c:axId val="1631968078"/>
      </c:lineChart>
      <c:catAx>
        <c:axId val="1200823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1968078"/>
      </c:catAx>
      <c:valAx>
        <c:axId val="1631968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Trabajo restante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082330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43</xdr:row>
      <xdr:rowOff>85725</xdr:rowOff>
    </xdr:from>
    <xdr:ext cx="14763750" cy="5876925"/>
    <xdr:graphicFrame>
      <xdr:nvGraphicFramePr>
        <xdr:cNvPr id="61534451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533400</xdr:colOff>
      <xdr:row>8</xdr:row>
      <xdr:rowOff>47625</xdr:rowOff>
    </xdr:from>
    <xdr:ext cx="7200900" cy="2743200"/>
    <xdr:graphicFrame>
      <xdr:nvGraphicFramePr>
        <xdr:cNvPr id="119524001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57150</xdr:rowOff>
    </xdr:from>
    <xdr:ext cx="6753225" cy="2028825"/>
    <xdr:graphicFrame>
      <xdr:nvGraphicFramePr>
        <xdr:cNvPr id="131815695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57150</xdr:rowOff>
    </xdr:from>
    <xdr:ext cx="6562725" cy="1971675"/>
    <xdr:graphicFrame>
      <xdr:nvGraphicFramePr>
        <xdr:cNvPr id="137549925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57150</xdr:rowOff>
    </xdr:from>
    <xdr:ext cx="6753225" cy="2028825"/>
    <xdr:graphicFrame>
      <xdr:nvGraphicFramePr>
        <xdr:cNvPr id="159399486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57150</xdr:rowOff>
    </xdr:from>
    <xdr:ext cx="6753225" cy="2028825"/>
    <xdr:graphicFrame>
      <xdr:nvGraphicFramePr>
        <xdr:cNvPr id="77845854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6753225" cy="2028825"/>
    <xdr:graphicFrame>
      <xdr:nvGraphicFramePr>
        <xdr:cNvPr id="2105709263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57150</xdr:rowOff>
    </xdr:from>
    <xdr:ext cx="6753225" cy="2028825"/>
    <xdr:graphicFrame>
      <xdr:nvGraphicFramePr>
        <xdr:cNvPr id="144264616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30</xdr:row>
      <xdr:rowOff>0</xdr:rowOff>
    </xdr:from>
    <xdr:ext cx="12496800" cy="5562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9</xdr:row>
      <xdr:rowOff>57150</xdr:rowOff>
    </xdr:from>
    <xdr:ext cx="2000250" cy="276225"/>
    <xdr:sp>
      <xdr:nvSpPr>
        <xdr:cNvPr id="3" name="Shape 3"/>
        <xdr:cNvSpPr/>
      </xdr:nvSpPr>
      <xdr:spPr>
        <a:xfrm>
          <a:off x="4350638" y="3646650"/>
          <a:ext cx="1990725" cy="2667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1</a:t>
          </a:r>
          <a:endParaRPr sz="1400"/>
        </a:p>
      </xdr:txBody>
    </xdr:sp>
    <xdr:clientData fLocksWithSheet="0"/>
  </xdr:oneCellAnchor>
  <xdr:oneCellAnchor>
    <xdr:from>
      <xdr:col>4</xdr:col>
      <xdr:colOff>1247775</xdr:colOff>
      <xdr:row>12</xdr:row>
      <xdr:rowOff>47625</xdr:rowOff>
    </xdr:from>
    <xdr:ext cx="4552950" cy="295275"/>
    <xdr:sp>
      <xdr:nvSpPr>
        <xdr:cNvPr id="4" name="Shape 4"/>
        <xdr:cNvSpPr/>
      </xdr:nvSpPr>
      <xdr:spPr>
        <a:xfrm>
          <a:off x="3074288" y="3637125"/>
          <a:ext cx="4543425" cy="28575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2</a:t>
          </a:r>
          <a:endParaRPr sz="1100"/>
        </a:p>
      </xdr:txBody>
    </xdr:sp>
    <xdr:clientData fLocksWithSheet="0"/>
  </xdr:oneCellAnchor>
  <xdr:oneCellAnchor>
    <xdr:from>
      <xdr:col>11</xdr:col>
      <xdr:colOff>590550</xdr:colOff>
      <xdr:row>15</xdr:row>
      <xdr:rowOff>9525</xdr:rowOff>
    </xdr:from>
    <xdr:ext cx="809625" cy="304800"/>
    <xdr:sp>
      <xdr:nvSpPr>
        <xdr:cNvPr id="5" name="Shape 5"/>
        <xdr:cNvSpPr/>
      </xdr:nvSpPr>
      <xdr:spPr>
        <a:xfrm>
          <a:off x="4945950" y="3632363"/>
          <a:ext cx="800100" cy="295275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3</a:t>
          </a:r>
          <a:endParaRPr sz="1100"/>
        </a:p>
      </xdr:txBody>
    </xdr:sp>
    <xdr:clientData fLocksWithSheet="0"/>
  </xdr:oneCellAnchor>
  <xdr:oneCellAnchor>
    <xdr:from>
      <xdr:col>3</xdr:col>
      <xdr:colOff>1304925</xdr:colOff>
      <xdr:row>18</xdr:row>
      <xdr:rowOff>133350</xdr:rowOff>
    </xdr:from>
    <xdr:ext cx="9610725" cy="342900"/>
    <xdr:sp>
      <xdr:nvSpPr>
        <xdr:cNvPr id="6" name="Shape 6"/>
        <xdr:cNvSpPr/>
      </xdr:nvSpPr>
      <xdr:spPr>
        <a:xfrm>
          <a:off x="545400" y="3613313"/>
          <a:ext cx="9601200" cy="333375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4</a:t>
          </a:r>
          <a:endParaRPr sz="1400"/>
        </a:p>
      </xdr:txBody>
    </xdr:sp>
    <xdr:clientData fLocksWithSheet="0"/>
  </xdr:oneCellAnchor>
  <xdr:oneCellAnchor>
    <xdr:from>
      <xdr:col>9</xdr:col>
      <xdr:colOff>333375</xdr:colOff>
      <xdr:row>23</xdr:row>
      <xdr:rowOff>66675</xdr:rowOff>
    </xdr:from>
    <xdr:ext cx="3457575" cy="333375"/>
    <xdr:sp>
      <xdr:nvSpPr>
        <xdr:cNvPr id="7" name="Shape 7"/>
        <xdr:cNvSpPr/>
      </xdr:nvSpPr>
      <xdr:spPr>
        <a:xfrm>
          <a:off x="3621975" y="3618075"/>
          <a:ext cx="3448050" cy="32385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5</a:t>
          </a:r>
          <a:endParaRPr sz="1400"/>
        </a:p>
      </xdr:txBody>
    </xdr:sp>
    <xdr:clientData fLocksWithSheet="0"/>
  </xdr:oneCellAnchor>
  <xdr:oneCellAnchor>
    <xdr:from>
      <xdr:col>4</xdr:col>
      <xdr:colOff>390525</xdr:colOff>
      <xdr:row>27</xdr:row>
      <xdr:rowOff>28575</xdr:rowOff>
    </xdr:from>
    <xdr:ext cx="2038350" cy="333375"/>
    <xdr:sp>
      <xdr:nvSpPr>
        <xdr:cNvPr id="8" name="Shape 8"/>
        <xdr:cNvSpPr/>
      </xdr:nvSpPr>
      <xdr:spPr>
        <a:xfrm>
          <a:off x="4331588" y="3618075"/>
          <a:ext cx="2028825" cy="323850"/>
        </a:xfrm>
        <a:prstGeom prst="homePlate">
          <a:avLst>
            <a:gd fmla="val 50000" name="adj"/>
          </a:avLst>
        </a:prstGeom>
        <a:solidFill>
          <a:srgbClr val="FF66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6</a:t>
          </a:r>
          <a:endParaRPr sz="1400"/>
        </a:p>
      </xdr:txBody>
    </xdr:sp>
    <xdr:clientData fLocksWithSheet="0"/>
  </xdr:oneCellAnchor>
  <xdr:oneCellAnchor>
    <xdr:from>
      <xdr:col>6</xdr:col>
      <xdr:colOff>1000125</xdr:colOff>
      <xdr:row>32</xdr:row>
      <xdr:rowOff>95250</xdr:rowOff>
    </xdr:from>
    <xdr:ext cx="2219325" cy="333375"/>
    <xdr:sp>
      <xdr:nvSpPr>
        <xdr:cNvPr id="9" name="Shape 9"/>
        <xdr:cNvSpPr/>
      </xdr:nvSpPr>
      <xdr:spPr>
        <a:xfrm>
          <a:off x="4241100" y="3618075"/>
          <a:ext cx="2209800" cy="323850"/>
        </a:xfrm>
        <a:prstGeom prst="homePlate">
          <a:avLst>
            <a:gd fmla="val 50000" name="adj"/>
          </a:avLst>
        </a:prstGeom>
        <a:solidFill>
          <a:srgbClr val="FF66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7</a:t>
          </a:r>
          <a:endParaRPr sz="1400"/>
        </a:p>
      </xdr:txBody>
    </xdr:sp>
    <xdr:clientData fLocksWithSheet="0"/>
  </xdr:oneCellAnchor>
  <xdr:oneCellAnchor>
    <xdr:from>
      <xdr:col>7</xdr:col>
      <xdr:colOff>1362075</xdr:colOff>
      <xdr:row>36</xdr:row>
      <xdr:rowOff>161925</xdr:rowOff>
    </xdr:from>
    <xdr:ext cx="5353050" cy="342900"/>
    <xdr:sp>
      <xdr:nvSpPr>
        <xdr:cNvPr id="10" name="Shape 10"/>
        <xdr:cNvSpPr/>
      </xdr:nvSpPr>
      <xdr:spPr>
        <a:xfrm>
          <a:off x="2674238" y="3613313"/>
          <a:ext cx="5343525" cy="333375"/>
        </a:xfrm>
        <a:prstGeom prst="homePlate">
          <a:avLst>
            <a:gd fmla="val 50000" name="adj"/>
          </a:avLst>
        </a:prstGeom>
        <a:solidFill>
          <a:srgbClr val="95373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8</a:t>
          </a:r>
          <a:endParaRPr sz="1100"/>
        </a:p>
      </xdr:txBody>
    </xdr:sp>
    <xdr:clientData fLocksWithSheet="0"/>
  </xdr:oneCellAnchor>
  <xdr:oneCellAnchor>
    <xdr:from>
      <xdr:col>10</xdr:col>
      <xdr:colOff>1352550</xdr:colOff>
      <xdr:row>41</xdr:row>
      <xdr:rowOff>85725</xdr:rowOff>
    </xdr:from>
    <xdr:ext cx="1000125" cy="304800"/>
    <xdr:sp>
      <xdr:nvSpPr>
        <xdr:cNvPr id="11" name="Shape 11"/>
        <xdr:cNvSpPr/>
      </xdr:nvSpPr>
      <xdr:spPr>
        <a:xfrm>
          <a:off x="4850700" y="3632363"/>
          <a:ext cx="990600" cy="295275"/>
        </a:xfrm>
        <a:prstGeom prst="homePlate">
          <a:avLst>
            <a:gd fmla="val 50000" name="adj"/>
          </a:avLst>
        </a:prstGeom>
        <a:solidFill>
          <a:srgbClr val="95373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Producto 9</a:t>
          </a:r>
          <a:endParaRPr sz="1400"/>
        </a:p>
      </xdr:txBody>
    </xdr:sp>
    <xdr:clientData fLocksWithSheet="0"/>
  </xdr:oneCellAnchor>
  <xdr:oneCellAnchor>
    <xdr:from>
      <xdr:col>10</xdr:col>
      <xdr:colOff>390525</xdr:colOff>
      <xdr:row>1</xdr:row>
      <xdr:rowOff>28575</xdr:rowOff>
    </xdr:from>
    <xdr:ext cx="2838450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48</xdr:row>
      <xdr:rowOff>190500</xdr:rowOff>
    </xdr:from>
    <xdr:ext cx="12125325" cy="49530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24.89"/>
    <col customWidth="1" min="3" max="3" width="46.89"/>
    <col customWidth="1" min="4" max="4" width="71.89"/>
    <col customWidth="1" min="5" max="5" width="44.44"/>
    <col customWidth="1" min="6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3" t="s">
        <v>1</v>
      </c>
      <c r="B5" s="4" t="s">
        <v>2</v>
      </c>
      <c r="C5" s="5" t="s">
        <v>3</v>
      </c>
      <c r="D5" s="6" t="s">
        <v>4</v>
      </c>
      <c r="E5" s="1"/>
      <c r="F5" s="1"/>
      <c r="G5" s="1"/>
      <c r="H5" s="1"/>
      <c r="I5" s="1"/>
      <c r="J5" s="1"/>
      <c r="K5" s="1"/>
      <c r="L5" s="1"/>
    </row>
    <row r="6" ht="21.75" customHeight="1">
      <c r="A6" s="7">
        <v>1.0</v>
      </c>
      <c r="B6" s="7" t="s">
        <v>5</v>
      </c>
      <c r="C6" s="7" t="s">
        <v>6</v>
      </c>
      <c r="D6" s="7" t="s">
        <v>7</v>
      </c>
      <c r="E6" s="1"/>
      <c r="F6" s="1"/>
      <c r="G6" s="1"/>
      <c r="H6" s="1"/>
      <c r="I6" s="1"/>
      <c r="J6" s="1"/>
      <c r="K6" s="1"/>
      <c r="L6" s="1"/>
    </row>
    <row r="7" ht="21.75" customHeight="1">
      <c r="A7" s="7">
        <v>2.0</v>
      </c>
      <c r="B7" s="7" t="s">
        <v>5</v>
      </c>
      <c r="C7" s="7" t="s">
        <v>8</v>
      </c>
      <c r="D7" s="7" t="s">
        <v>9</v>
      </c>
      <c r="E7" s="1"/>
      <c r="F7" s="1"/>
      <c r="G7" s="1"/>
      <c r="H7" s="1"/>
      <c r="I7" s="1"/>
      <c r="J7" s="1"/>
      <c r="K7" s="1"/>
      <c r="L7" s="1"/>
    </row>
    <row r="8" ht="21.75" customHeight="1">
      <c r="A8" s="7">
        <v>3.0</v>
      </c>
      <c r="B8" s="8" t="s">
        <v>5</v>
      </c>
      <c r="C8" s="7" t="s">
        <v>10</v>
      </c>
      <c r="D8" s="7" t="s">
        <v>11</v>
      </c>
      <c r="E8" s="1"/>
      <c r="F8" s="1"/>
      <c r="G8" s="1"/>
      <c r="H8" s="1"/>
      <c r="I8" s="1"/>
      <c r="J8" s="1"/>
      <c r="K8" s="1"/>
      <c r="L8" s="1"/>
    </row>
    <row r="9" ht="21.75" customHeight="1">
      <c r="A9" s="7">
        <v>4.0</v>
      </c>
      <c r="B9" s="7" t="s">
        <v>12</v>
      </c>
      <c r="C9" s="7" t="s">
        <v>13</v>
      </c>
      <c r="D9" s="7" t="s">
        <v>14</v>
      </c>
      <c r="E9" s="1"/>
      <c r="F9" s="1"/>
      <c r="G9" s="1"/>
      <c r="H9" s="1"/>
      <c r="I9" s="1"/>
      <c r="J9" s="1"/>
      <c r="K9" s="1"/>
      <c r="L9" s="1"/>
    </row>
    <row r="10" ht="21.75" customHeight="1">
      <c r="A10" s="7">
        <v>5.0</v>
      </c>
      <c r="B10" s="7" t="s">
        <v>12</v>
      </c>
      <c r="C10" s="7" t="s">
        <v>15</v>
      </c>
      <c r="D10" s="7" t="s">
        <v>16</v>
      </c>
      <c r="E10" s="1"/>
      <c r="F10" s="1"/>
      <c r="G10" s="1"/>
      <c r="H10" s="1"/>
      <c r="I10" s="1"/>
      <c r="J10" s="1"/>
      <c r="K10" s="1"/>
      <c r="L10" s="1"/>
    </row>
    <row r="11" ht="21.75" customHeight="1">
      <c r="A11" s="7">
        <v>6.0</v>
      </c>
      <c r="B11" s="7" t="s">
        <v>17</v>
      </c>
      <c r="C11" s="7" t="s">
        <v>18</v>
      </c>
      <c r="D11" s="7" t="s">
        <v>19</v>
      </c>
      <c r="E11" s="1"/>
      <c r="F11" s="1"/>
      <c r="G11" s="1"/>
      <c r="H11" s="1"/>
      <c r="I11" s="1"/>
      <c r="J11" s="1"/>
      <c r="K11" s="1"/>
      <c r="L11" s="1"/>
    </row>
    <row r="12" ht="21.75" customHeight="1">
      <c r="A12" s="7">
        <v>7.0</v>
      </c>
      <c r="B12" s="7" t="s">
        <v>20</v>
      </c>
      <c r="C12" s="7" t="s">
        <v>21</v>
      </c>
      <c r="D12" s="7" t="s">
        <v>22</v>
      </c>
      <c r="E12" s="1"/>
      <c r="F12" s="1"/>
      <c r="G12" s="1"/>
      <c r="H12" s="1"/>
      <c r="I12" s="1"/>
      <c r="J12" s="1"/>
      <c r="K12" s="1"/>
      <c r="L12" s="1"/>
    </row>
    <row r="13" ht="21.75" customHeight="1">
      <c r="A13" s="7">
        <v>8.0</v>
      </c>
      <c r="B13" s="7" t="s">
        <v>12</v>
      </c>
      <c r="C13" s="7" t="s">
        <v>23</v>
      </c>
      <c r="D13" s="7" t="s">
        <v>24</v>
      </c>
      <c r="E13" s="1"/>
      <c r="F13" s="1"/>
      <c r="G13" s="1"/>
      <c r="H13" s="1"/>
      <c r="I13" s="1"/>
      <c r="J13" s="1"/>
      <c r="K13" s="1"/>
      <c r="L13" s="1"/>
    </row>
    <row r="14" ht="21.75" customHeight="1">
      <c r="A14" s="7">
        <v>9.0</v>
      </c>
      <c r="B14" s="7" t="s">
        <v>12</v>
      </c>
      <c r="C14" s="9" t="s">
        <v>25</v>
      </c>
      <c r="D14" s="7" t="s">
        <v>26</v>
      </c>
      <c r="E14" s="1"/>
      <c r="F14" s="1"/>
      <c r="G14" s="1"/>
      <c r="H14" s="1"/>
      <c r="I14" s="1"/>
      <c r="J14" s="1"/>
      <c r="K14" s="1"/>
      <c r="L14" s="1"/>
    </row>
    <row r="15" ht="21.75" customHeight="1">
      <c r="A15" s="7">
        <v>10.0</v>
      </c>
      <c r="B15" s="7" t="s">
        <v>12</v>
      </c>
      <c r="C15" s="7" t="s">
        <v>27</v>
      </c>
      <c r="D15" s="7" t="s">
        <v>26</v>
      </c>
      <c r="E15" s="1"/>
      <c r="F15" s="1"/>
      <c r="G15" s="1"/>
      <c r="H15" s="1"/>
      <c r="I15" s="1"/>
      <c r="J15" s="1"/>
      <c r="K15" s="1"/>
      <c r="L15" s="1"/>
    </row>
    <row r="16" ht="21.75" customHeight="1">
      <c r="A16" s="7">
        <v>11.0</v>
      </c>
      <c r="B16" s="7" t="s">
        <v>12</v>
      </c>
      <c r="C16" s="7" t="s">
        <v>28</v>
      </c>
      <c r="D16" s="7" t="s">
        <v>29</v>
      </c>
      <c r="E16" s="1"/>
      <c r="F16" s="1"/>
      <c r="G16" s="1"/>
      <c r="H16" s="1"/>
      <c r="I16" s="1"/>
      <c r="J16" s="1"/>
      <c r="K16" s="1"/>
      <c r="L16" s="1"/>
    </row>
    <row r="17" ht="21.75" customHeight="1">
      <c r="A17" s="7">
        <v>12.0</v>
      </c>
      <c r="B17" s="7" t="s">
        <v>12</v>
      </c>
      <c r="C17" s="7" t="s">
        <v>30</v>
      </c>
      <c r="D17" s="7" t="s">
        <v>29</v>
      </c>
      <c r="E17" s="1"/>
      <c r="F17" s="1"/>
      <c r="G17" s="1"/>
      <c r="H17" s="1"/>
      <c r="I17" s="1"/>
      <c r="J17" s="1"/>
      <c r="K17" s="1"/>
      <c r="L17" s="1"/>
    </row>
    <row r="18" ht="21.75" customHeight="1">
      <c r="A18" s="7">
        <v>13.0</v>
      </c>
      <c r="B18" s="7" t="s">
        <v>12</v>
      </c>
      <c r="C18" s="9" t="s">
        <v>31</v>
      </c>
      <c r="D18" s="7" t="s">
        <v>32</v>
      </c>
      <c r="E18" s="1"/>
      <c r="F18" s="1"/>
      <c r="G18" s="1"/>
      <c r="H18" s="1"/>
      <c r="I18" s="1"/>
      <c r="J18" s="1"/>
      <c r="K18" s="1"/>
      <c r="L18" s="1"/>
    </row>
    <row r="19" ht="21.75" customHeight="1">
      <c r="A19" s="7">
        <v>14.0</v>
      </c>
      <c r="B19" s="7"/>
      <c r="C19" s="7"/>
      <c r="D19" s="7"/>
      <c r="E19" s="1"/>
      <c r="F19" s="1"/>
      <c r="G19" s="1"/>
      <c r="H19" s="1"/>
      <c r="I19" s="1"/>
      <c r="J19" s="1"/>
      <c r="K19" s="1"/>
      <c r="L19" s="1"/>
    </row>
    <row r="20" ht="21.75" customHeight="1">
      <c r="A20" s="7">
        <v>15.0</v>
      </c>
      <c r="B20" s="7"/>
      <c r="C20" s="7"/>
      <c r="D20" s="7"/>
      <c r="E20" s="1"/>
      <c r="F20" s="1"/>
      <c r="G20" s="1"/>
      <c r="H20" s="1"/>
      <c r="I20" s="1"/>
      <c r="J20" s="1"/>
      <c r="K20" s="1"/>
      <c r="L20" s="1"/>
    </row>
    <row r="21" ht="21.75" customHeight="1">
      <c r="A21" s="7">
        <v>16.0</v>
      </c>
      <c r="B21" s="7"/>
      <c r="C21" s="7"/>
      <c r="D21" s="7"/>
      <c r="E21" s="1"/>
      <c r="F21" s="1"/>
      <c r="G21" s="1"/>
      <c r="H21" s="1"/>
      <c r="I21" s="1"/>
      <c r="J21" s="1"/>
      <c r="K21" s="1"/>
      <c r="L21" s="1"/>
    </row>
    <row r="22" ht="21.75" customHeight="1">
      <c r="A22" s="7">
        <v>17.0</v>
      </c>
      <c r="B22" s="7"/>
      <c r="C22" s="7"/>
      <c r="D22" s="7"/>
      <c r="E22" s="1"/>
      <c r="F22" s="1"/>
      <c r="G22" s="1"/>
      <c r="H22" s="1"/>
      <c r="I22" s="1"/>
      <c r="J22" s="1"/>
      <c r="K22" s="1"/>
      <c r="L22" s="1"/>
    </row>
    <row r="23" ht="21.75" customHeight="1">
      <c r="A23" s="7">
        <v>18.0</v>
      </c>
      <c r="B23" s="7"/>
      <c r="C23" s="7"/>
      <c r="D23" s="7"/>
      <c r="E23" s="1"/>
      <c r="F23" s="1"/>
      <c r="G23" s="1"/>
      <c r="H23" s="1"/>
      <c r="I23" s="1"/>
      <c r="J23" s="1"/>
      <c r="K23" s="1"/>
      <c r="L23" s="1"/>
    </row>
    <row r="24" ht="21.75" customHeight="1">
      <c r="A24" s="7">
        <v>19.0</v>
      </c>
      <c r="B24" s="7"/>
      <c r="C24" s="7"/>
      <c r="D24" s="7"/>
      <c r="E24" s="1"/>
      <c r="F24" s="1"/>
      <c r="G24" s="1"/>
      <c r="H24" s="1"/>
      <c r="I24" s="1"/>
      <c r="J24" s="1"/>
      <c r="K24" s="1"/>
      <c r="L24" s="1"/>
    </row>
    <row r="25" ht="21.75" customHeight="1">
      <c r="A25" s="7">
        <v>20.0</v>
      </c>
      <c r="B25" s="7"/>
      <c r="C25" s="7"/>
      <c r="D25" s="7"/>
      <c r="E25" s="1"/>
      <c r="F25" s="1"/>
      <c r="G25" s="1"/>
      <c r="H25" s="1"/>
      <c r="I25" s="1"/>
      <c r="J25" s="1"/>
      <c r="K25" s="1"/>
      <c r="L25" s="1"/>
    </row>
    <row r="26" ht="21.75" customHeight="1">
      <c r="A26" s="7">
        <v>21.0</v>
      </c>
      <c r="B26" s="7"/>
      <c r="C26" s="7"/>
      <c r="D26" s="7"/>
      <c r="E26" s="1"/>
      <c r="F26" s="1"/>
      <c r="G26" s="1"/>
      <c r="H26" s="1"/>
      <c r="I26" s="1"/>
      <c r="J26" s="1"/>
      <c r="K26" s="1"/>
      <c r="L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14 C18">
      <formula1>YesNo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42.67"/>
    <col customWidth="1" min="3" max="3" width="35.11"/>
    <col customWidth="1" hidden="1" min="4" max="5" width="11.22"/>
    <col customWidth="1" min="6" max="6" width="9.44"/>
    <col customWidth="1" min="7" max="7" width="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0</v>
      </c>
      <c r="B2" s="2"/>
      <c r="C2" s="1" t="s">
        <v>33</v>
      </c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0"/>
      <c r="B4" s="10"/>
      <c r="C4" s="10"/>
      <c r="D4" s="10"/>
      <c r="E4" s="10"/>
      <c r="F4" s="10"/>
      <c r="G4" s="10"/>
      <c r="H4" s="1"/>
      <c r="I4" s="1"/>
      <c r="J4" s="1"/>
    </row>
    <row r="5">
      <c r="A5" s="11" t="s">
        <v>1</v>
      </c>
      <c r="B5" s="11" t="s">
        <v>34</v>
      </c>
      <c r="C5" s="11" t="s">
        <v>35</v>
      </c>
      <c r="D5" s="11" t="s">
        <v>36</v>
      </c>
      <c r="E5" s="11" t="s">
        <v>37</v>
      </c>
      <c r="F5" s="11" t="s">
        <v>38</v>
      </c>
      <c r="G5" s="11" t="s">
        <v>39</v>
      </c>
      <c r="H5" s="12"/>
      <c r="I5" s="1"/>
      <c r="J5" s="1"/>
    </row>
    <row r="6" ht="45.0" customHeight="1">
      <c r="A6" s="13" t="s">
        <v>40</v>
      </c>
      <c r="B6" s="14" t="s">
        <v>41</v>
      </c>
      <c r="C6" s="15" t="s">
        <v>42</v>
      </c>
      <c r="D6" s="16" t="s">
        <v>43</v>
      </c>
      <c r="E6" s="16" t="s">
        <v>44</v>
      </c>
      <c r="F6" s="13" t="s">
        <v>45</v>
      </c>
      <c r="G6" s="13">
        <v>3.0</v>
      </c>
      <c r="H6" s="12"/>
      <c r="I6" s="1"/>
      <c r="J6" s="1"/>
    </row>
    <row r="7" ht="45.0" customHeight="1">
      <c r="A7" s="13" t="s">
        <v>46</v>
      </c>
      <c r="B7" s="7" t="s">
        <v>47</v>
      </c>
      <c r="C7" s="15" t="s">
        <v>48</v>
      </c>
      <c r="D7" s="16" t="s">
        <v>49</v>
      </c>
      <c r="E7" s="16" t="s">
        <v>50</v>
      </c>
      <c r="F7" s="13" t="s">
        <v>45</v>
      </c>
      <c r="G7" s="13">
        <v>1.0</v>
      </c>
      <c r="H7" s="12"/>
      <c r="I7" s="1"/>
      <c r="J7" s="1"/>
    </row>
    <row r="8" ht="45.0" customHeight="1">
      <c r="A8" s="13" t="s">
        <v>51</v>
      </c>
      <c r="B8" s="7" t="s">
        <v>52</v>
      </c>
      <c r="C8" s="15" t="s">
        <v>53</v>
      </c>
      <c r="D8" s="16" t="s">
        <v>54</v>
      </c>
      <c r="E8" s="16" t="s">
        <v>55</v>
      </c>
      <c r="F8" s="13" t="s">
        <v>45</v>
      </c>
      <c r="G8" s="13">
        <v>2.0</v>
      </c>
      <c r="H8" s="12"/>
      <c r="I8" s="1"/>
      <c r="J8" s="1"/>
    </row>
    <row r="9" ht="45.0" customHeight="1">
      <c r="A9" s="13" t="s">
        <v>56</v>
      </c>
      <c r="B9" s="7" t="s">
        <v>57</v>
      </c>
      <c r="C9" s="15" t="s">
        <v>58</v>
      </c>
      <c r="D9" s="16" t="s">
        <v>59</v>
      </c>
      <c r="E9" s="16" t="s">
        <v>44</v>
      </c>
      <c r="F9" s="13" t="s">
        <v>60</v>
      </c>
      <c r="G9" s="13">
        <v>2.0</v>
      </c>
      <c r="H9" s="12"/>
      <c r="I9" s="1"/>
      <c r="J9" s="1"/>
    </row>
    <row r="10" ht="45.0" customHeight="1">
      <c r="A10" s="13" t="s">
        <v>61</v>
      </c>
      <c r="B10" s="7" t="s">
        <v>62</v>
      </c>
      <c r="C10" s="15" t="s">
        <v>63</v>
      </c>
      <c r="D10" s="16" t="s">
        <v>64</v>
      </c>
      <c r="E10" s="16" t="s">
        <v>50</v>
      </c>
      <c r="F10" s="13" t="s">
        <v>45</v>
      </c>
      <c r="G10" s="13">
        <v>4.0</v>
      </c>
      <c r="H10" s="12"/>
      <c r="I10" s="1"/>
      <c r="J10" s="1"/>
    </row>
    <row r="11" ht="45.0" customHeight="1">
      <c r="A11" s="13" t="s">
        <v>65</v>
      </c>
      <c r="B11" s="7" t="s">
        <v>66</v>
      </c>
      <c r="C11" s="15" t="s">
        <v>67</v>
      </c>
      <c r="D11" s="16" t="s">
        <v>68</v>
      </c>
      <c r="E11" s="16" t="s">
        <v>50</v>
      </c>
      <c r="F11" s="13" t="s">
        <v>45</v>
      </c>
      <c r="G11" s="13">
        <v>3.0</v>
      </c>
      <c r="H11" s="12"/>
      <c r="I11" s="1"/>
      <c r="J11" s="1"/>
    </row>
    <row r="12" ht="45.0" customHeight="1">
      <c r="A12" s="13" t="s">
        <v>69</v>
      </c>
      <c r="B12" s="7" t="s">
        <v>70</v>
      </c>
      <c r="C12" s="15" t="s">
        <v>71</v>
      </c>
      <c r="D12" s="16" t="s">
        <v>72</v>
      </c>
      <c r="E12" s="16" t="s">
        <v>55</v>
      </c>
      <c r="F12" s="13" t="s">
        <v>60</v>
      </c>
      <c r="G12" s="13">
        <v>2.0</v>
      </c>
      <c r="H12" s="12"/>
      <c r="I12" s="1"/>
      <c r="J12" s="1"/>
    </row>
    <row r="13" ht="45.0" customHeight="1">
      <c r="A13" s="13" t="s">
        <v>73</v>
      </c>
      <c r="B13" s="7" t="s">
        <v>74</v>
      </c>
      <c r="C13" s="15" t="s">
        <v>75</v>
      </c>
      <c r="D13" s="16" t="s">
        <v>76</v>
      </c>
      <c r="E13" s="16" t="s">
        <v>44</v>
      </c>
      <c r="F13" s="13" t="s">
        <v>45</v>
      </c>
      <c r="G13" s="13">
        <v>2.0</v>
      </c>
      <c r="H13" s="12"/>
      <c r="I13" s="1"/>
      <c r="J13" s="1"/>
    </row>
    <row r="14" ht="45.0" customHeight="1">
      <c r="A14" s="13" t="s">
        <v>77</v>
      </c>
      <c r="B14" s="7" t="s">
        <v>78</v>
      </c>
      <c r="C14" s="15" t="s">
        <v>79</v>
      </c>
      <c r="D14" s="17"/>
      <c r="E14" s="17"/>
      <c r="F14" s="13" t="s">
        <v>60</v>
      </c>
      <c r="G14" s="13">
        <v>1.0</v>
      </c>
      <c r="H14" s="12"/>
      <c r="I14" s="1"/>
      <c r="J14" s="1"/>
    </row>
    <row r="15" ht="45.0" customHeight="1">
      <c r="A15" s="13" t="s">
        <v>80</v>
      </c>
      <c r="B15" s="7" t="s">
        <v>81</v>
      </c>
      <c r="C15" s="15" t="s">
        <v>82</v>
      </c>
      <c r="D15" s="17"/>
      <c r="E15" s="17"/>
      <c r="F15" s="13" t="s">
        <v>45</v>
      </c>
      <c r="G15" s="13">
        <v>3.0</v>
      </c>
      <c r="H15" s="12"/>
      <c r="I15" s="1"/>
      <c r="J15" s="1"/>
    </row>
    <row r="16" ht="45.0" customHeight="1">
      <c r="A16" s="13" t="s">
        <v>83</v>
      </c>
      <c r="B16" s="7" t="s">
        <v>84</v>
      </c>
      <c r="C16" s="15" t="s">
        <v>85</v>
      </c>
      <c r="D16" s="17"/>
      <c r="E16" s="17"/>
      <c r="F16" s="13" t="s">
        <v>45</v>
      </c>
      <c r="G16" s="13">
        <v>2.0</v>
      </c>
      <c r="H16" s="18"/>
      <c r="I16" s="1"/>
      <c r="J16" s="1"/>
    </row>
    <row r="17" ht="45.0" customHeight="1">
      <c r="A17" s="13" t="s">
        <v>86</v>
      </c>
      <c r="B17" s="7" t="s">
        <v>87</v>
      </c>
      <c r="C17" s="15" t="s">
        <v>88</v>
      </c>
      <c r="D17" s="17"/>
      <c r="E17" s="17"/>
      <c r="F17" s="13" t="s">
        <v>60</v>
      </c>
      <c r="G17" s="13">
        <v>3.0</v>
      </c>
      <c r="H17" s="19"/>
      <c r="I17" s="12"/>
      <c r="J17" s="1"/>
    </row>
    <row r="18" ht="45.0" customHeight="1">
      <c r="A18" s="13" t="s">
        <v>89</v>
      </c>
      <c r="B18" s="7" t="s">
        <v>90</v>
      </c>
      <c r="C18" s="15" t="s">
        <v>91</v>
      </c>
      <c r="D18" s="17"/>
      <c r="E18" s="17"/>
      <c r="F18" s="13" t="s">
        <v>60</v>
      </c>
      <c r="G18" s="13">
        <v>2.0</v>
      </c>
      <c r="H18" s="19"/>
      <c r="I18" s="12"/>
      <c r="J18" s="1"/>
    </row>
    <row r="19" ht="45.0" customHeight="1">
      <c r="A19" s="13" t="s">
        <v>92</v>
      </c>
      <c r="B19" s="7" t="s">
        <v>93</v>
      </c>
      <c r="C19" s="20" t="s">
        <v>94</v>
      </c>
      <c r="D19" s="17"/>
      <c r="E19" s="17"/>
      <c r="F19" s="13" t="s">
        <v>45</v>
      </c>
      <c r="G19" s="13">
        <v>4.0</v>
      </c>
      <c r="H19" s="21"/>
      <c r="I19" s="12"/>
      <c r="J19" s="1"/>
    </row>
    <row r="20" ht="45.0" customHeight="1">
      <c r="A20" s="13" t="s">
        <v>95</v>
      </c>
      <c r="B20" s="7" t="s">
        <v>96</v>
      </c>
      <c r="C20" s="15" t="s">
        <v>97</v>
      </c>
      <c r="D20" s="17"/>
      <c r="E20" s="17"/>
      <c r="F20" s="13" t="s">
        <v>60</v>
      </c>
      <c r="G20" s="13">
        <v>3.0</v>
      </c>
      <c r="H20" s="21"/>
      <c r="I20" s="12"/>
      <c r="J20" s="1"/>
    </row>
    <row r="21" ht="45.0" customHeight="1">
      <c r="A21" s="13" t="s">
        <v>98</v>
      </c>
      <c r="B21" s="7" t="s">
        <v>99</v>
      </c>
      <c r="C21" s="20" t="s">
        <v>100</v>
      </c>
      <c r="D21" s="17"/>
      <c r="E21" s="17"/>
      <c r="F21" s="13" t="s">
        <v>101</v>
      </c>
      <c r="G21" s="13">
        <v>3.0</v>
      </c>
      <c r="H21" s="21"/>
      <c r="I21" s="12"/>
      <c r="J21" s="1"/>
    </row>
    <row r="22" ht="45.0" customHeight="1">
      <c r="A22" s="13" t="s">
        <v>102</v>
      </c>
      <c r="B22" s="7" t="s">
        <v>103</v>
      </c>
      <c r="C22" s="20" t="s">
        <v>104</v>
      </c>
      <c r="D22" s="17"/>
      <c r="E22" s="17"/>
      <c r="F22" s="13" t="s">
        <v>60</v>
      </c>
      <c r="G22" s="13">
        <v>2.0</v>
      </c>
      <c r="H22" s="21"/>
      <c r="I22" s="22"/>
      <c r="J22" s="1"/>
    </row>
    <row r="23" ht="45.0" customHeight="1">
      <c r="A23" s="13" t="s">
        <v>105</v>
      </c>
      <c r="B23" s="7" t="s">
        <v>106</v>
      </c>
      <c r="C23" s="20" t="s">
        <v>107</v>
      </c>
      <c r="D23" s="17"/>
      <c r="E23" s="17"/>
      <c r="F23" s="13" t="s">
        <v>45</v>
      </c>
      <c r="G23" s="13">
        <v>3.0</v>
      </c>
      <c r="H23" s="21"/>
      <c r="I23" s="12"/>
      <c r="J23" s="1"/>
    </row>
    <row r="24" ht="45.0" customHeight="1">
      <c r="A24" s="13" t="s">
        <v>108</v>
      </c>
      <c r="B24" s="7" t="s">
        <v>109</v>
      </c>
      <c r="C24" s="20" t="s">
        <v>110</v>
      </c>
      <c r="D24" s="17"/>
      <c r="E24" s="17"/>
      <c r="F24" s="13" t="s">
        <v>45</v>
      </c>
      <c r="G24" s="13">
        <v>2.0</v>
      </c>
      <c r="H24" s="21"/>
      <c r="I24" s="12"/>
      <c r="J24" s="1"/>
    </row>
    <row r="25" ht="45.0" customHeight="1">
      <c r="A25" s="13" t="s">
        <v>111</v>
      </c>
      <c r="B25" s="7" t="s">
        <v>112</v>
      </c>
      <c r="C25" s="20" t="s">
        <v>113</v>
      </c>
      <c r="D25" s="17"/>
      <c r="E25" s="17"/>
      <c r="F25" s="13" t="s">
        <v>60</v>
      </c>
      <c r="G25" s="13">
        <v>3.0</v>
      </c>
      <c r="H25" s="21"/>
      <c r="I25" s="12"/>
      <c r="J25" s="1"/>
    </row>
    <row r="26" ht="45.0" customHeight="1">
      <c r="A26" s="13" t="s">
        <v>114</v>
      </c>
      <c r="B26" s="7" t="s">
        <v>115</v>
      </c>
      <c r="C26" s="20" t="s">
        <v>116</v>
      </c>
      <c r="D26" s="17"/>
      <c r="E26" s="17"/>
      <c r="F26" s="13" t="s">
        <v>60</v>
      </c>
      <c r="G26" s="13">
        <v>2.0</v>
      </c>
      <c r="H26" s="21"/>
      <c r="I26" s="12"/>
      <c r="J26" s="1"/>
    </row>
    <row r="27" ht="44.25" customHeight="1">
      <c r="A27" s="13" t="s">
        <v>117</v>
      </c>
      <c r="B27" s="7" t="s">
        <v>118</v>
      </c>
      <c r="C27" s="20" t="s">
        <v>119</v>
      </c>
      <c r="D27" s="17"/>
      <c r="E27" s="17"/>
      <c r="F27" s="13" t="s">
        <v>60</v>
      </c>
      <c r="G27" s="13">
        <v>3.0</v>
      </c>
      <c r="H27" s="21"/>
      <c r="I27" s="12"/>
      <c r="J27" s="1"/>
    </row>
    <row r="28" ht="44.25" customHeight="1">
      <c r="A28" s="13" t="s">
        <v>120</v>
      </c>
      <c r="B28" s="7" t="s">
        <v>121</v>
      </c>
      <c r="C28" s="20" t="s">
        <v>122</v>
      </c>
      <c r="D28" s="17"/>
      <c r="E28" s="17"/>
      <c r="F28" s="13" t="s">
        <v>101</v>
      </c>
      <c r="G28" s="13">
        <v>2.0</v>
      </c>
      <c r="H28" s="21"/>
      <c r="I28" s="12"/>
      <c r="J28" s="1"/>
    </row>
    <row r="29" ht="44.25" customHeight="1">
      <c r="A29" s="13" t="s">
        <v>123</v>
      </c>
      <c r="B29" s="7" t="s">
        <v>124</v>
      </c>
      <c r="C29" s="20" t="s">
        <v>125</v>
      </c>
      <c r="D29" s="17"/>
      <c r="E29" s="17"/>
      <c r="F29" s="13" t="s">
        <v>60</v>
      </c>
      <c r="G29" s="13">
        <v>4.0</v>
      </c>
      <c r="H29" s="21"/>
      <c r="I29" s="12"/>
      <c r="J29" s="1"/>
    </row>
    <row r="30" ht="44.25" customHeight="1">
      <c r="A30" s="13" t="s">
        <v>126</v>
      </c>
      <c r="B30" s="7" t="s">
        <v>127</v>
      </c>
      <c r="C30" s="20" t="s">
        <v>128</v>
      </c>
      <c r="D30" s="17"/>
      <c r="E30" s="17"/>
      <c r="F30" s="13" t="s">
        <v>60</v>
      </c>
      <c r="G30" s="13">
        <v>2.0</v>
      </c>
      <c r="H30" s="21"/>
      <c r="I30" s="12"/>
      <c r="J30" s="1"/>
    </row>
    <row r="31" ht="43.5" customHeight="1">
      <c r="A31" s="13" t="s">
        <v>129</v>
      </c>
      <c r="B31" s="7" t="s">
        <v>130</v>
      </c>
      <c r="C31" s="20" t="s">
        <v>131</v>
      </c>
      <c r="D31" s="17"/>
      <c r="E31" s="17"/>
      <c r="F31" s="13" t="s">
        <v>101</v>
      </c>
      <c r="G31" s="13">
        <v>5.0</v>
      </c>
      <c r="H31" s="21"/>
      <c r="I31" s="12"/>
      <c r="J31" s="1"/>
    </row>
    <row r="32" ht="43.5" customHeight="1">
      <c r="A32" s="13" t="s">
        <v>132</v>
      </c>
      <c r="B32" s="7" t="s">
        <v>133</v>
      </c>
      <c r="C32" s="15" t="s">
        <v>134</v>
      </c>
      <c r="D32" s="17"/>
      <c r="E32" s="17"/>
      <c r="F32" s="13" t="s">
        <v>101</v>
      </c>
      <c r="G32" s="13">
        <v>2.0</v>
      </c>
      <c r="H32" s="21"/>
      <c r="I32" s="12"/>
      <c r="J32" s="1"/>
    </row>
    <row r="33" ht="43.5" customHeight="1">
      <c r="A33" s="13" t="s">
        <v>135</v>
      </c>
      <c r="B33" s="7" t="s">
        <v>136</v>
      </c>
      <c r="C33" s="20" t="s">
        <v>137</v>
      </c>
      <c r="D33" s="17"/>
      <c r="E33" s="17"/>
      <c r="F33" s="13" t="s">
        <v>45</v>
      </c>
      <c r="G33" s="13">
        <v>4.0</v>
      </c>
      <c r="H33" s="19"/>
      <c r="I33" s="12"/>
      <c r="J33" s="1"/>
    </row>
    <row r="34" ht="43.5" customHeight="1">
      <c r="A34" s="13" t="s">
        <v>138</v>
      </c>
      <c r="B34" s="7" t="s">
        <v>139</v>
      </c>
      <c r="C34" s="15" t="s">
        <v>140</v>
      </c>
      <c r="D34" s="17"/>
      <c r="E34" s="17"/>
      <c r="F34" s="13" t="s">
        <v>101</v>
      </c>
      <c r="G34" s="13">
        <v>2.0</v>
      </c>
      <c r="H34" s="23"/>
      <c r="I34" s="1"/>
      <c r="J34" s="1"/>
    </row>
    <row r="35" ht="43.5" customHeight="1">
      <c r="A35" s="13" t="s">
        <v>141</v>
      </c>
      <c r="B35" s="7" t="s">
        <v>142</v>
      </c>
      <c r="C35" s="20" t="s">
        <v>143</v>
      </c>
      <c r="D35" s="17"/>
      <c r="E35" s="17"/>
      <c r="F35" s="13" t="s">
        <v>45</v>
      </c>
      <c r="G35" s="13">
        <v>5.0</v>
      </c>
      <c r="H35" s="12"/>
      <c r="I35" s="1"/>
      <c r="J35" s="1"/>
    </row>
    <row r="36" ht="15.75" customHeight="1">
      <c r="A36" s="24"/>
      <c r="B36" s="24"/>
      <c r="C36" s="24"/>
      <c r="D36" s="24"/>
      <c r="E36" s="24"/>
      <c r="F36" s="24"/>
      <c r="G36" s="24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50.11"/>
    <col customWidth="1" min="3" max="3" width="21.44"/>
    <col customWidth="1" min="4" max="4" width="11.0"/>
    <col customWidth="1" min="5" max="5" width="10.44"/>
    <col customWidth="1" min="6" max="6" width="12.89"/>
    <col customWidth="1" min="7" max="7" width="14.44"/>
    <col customWidth="1" min="8" max="8" width="11.0"/>
    <col customWidth="1" min="9" max="9" width="14.0"/>
    <col customWidth="1" min="10" max="29" width="11.0"/>
  </cols>
  <sheetData>
    <row r="1">
      <c r="B1" s="25" t="s">
        <v>144</v>
      </c>
      <c r="C1" s="26" t="s">
        <v>33</v>
      </c>
      <c r="D1" s="27"/>
      <c r="E1" s="27"/>
      <c r="F1" s="27"/>
      <c r="G1" s="28"/>
      <c r="H1" s="1"/>
      <c r="I1" s="29" t="s">
        <v>145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B2" s="25" t="s">
        <v>146</v>
      </c>
      <c r="C2" s="26" t="s">
        <v>147</v>
      </c>
      <c r="D2" s="27"/>
      <c r="E2" s="27"/>
      <c r="F2" s="27"/>
      <c r="G2" s="28"/>
      <c r="H2" s="1"/>
      <c r="I2" s="30" t="s">
        <v>148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B3" s="25" t="s">
        <v>149</v>
      </c>
      <c r="C3" s="31">
        <v>46111.0</v>
      </c>
      <c r="D3" s="1"/>
      <c r="E3" s="1"/>
      <c r="F3" s="1"/>
      <c r="G3" s="1"/>
      <c r="H3" s="1"/>
      <c r="I3" s="30" t="s">
        <v>44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B4" s="25" t="s">
        <v>150</v>
      </c>
      <c r="C4" s="31">
        <f>E34</f>
        <v>46172</v>
      </c>
      <c r="D4" s="1"/>
      <c r="E4" s="1"/>
      <c r="F4" s="1"/>
      <c r="G4" s="1"/>
      <c r="H4" s="1"/>
      <c r="I4" s="30" t="s">
        <v>151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.5" customHeight="1">
      <c r="B5" s="1"/>
      <c r="C5" s="1"/>
      <c r="D5" s="1"/>
      <c r="E5" s="1"/>
      <c r="F5" s="1"/>
      <c r="G5" s="1"/>
      <c r="H5" s="1"/>
      <c r="I5" s="30" t="s">
        <v>152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31.5" customHeight="1">
      <c r="B6" s="32" t="s">
        <v>153</v>
      </c>
      <c r="C6" s="32" t="s">
        <v>36</v>
      </c>
      <c r="D6" s="32" t="s">
        <v>149</v>
      </c>
      <c r="E6" s="32" t="s">
        <v>150</v>
      </c>
      <c r="F6" s="32" t="s">
        <v>154</v>
      </c>
      <c r="G6" s="32" t="s">
        <v>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B7" s="33" t="s">
        <v>155</v>
      </c>
      <c r="C7" s="33"/>
      <c r="D7" s="34">
        <f>C3</f>
        <v>46111</v>
      </c>
      <c r="E7" s="34">
        <f t="shared" ref="E7:E39" si="1">IF(AND(D7&lt;&gt;"",F7&lt;&gt;""),D7+F7-1,"")</f>
        <v>46118</v>
      </c>
      <c r="F7" s="33">
        <f>SUM(F8:F11)</f>
        <v>8</v>
      </c>
      <c r="G7" s="33" t="s">
        <v>148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B8" s="35" t="s">
        <v>42</v>
      </c>
      <c r="C8" s="36" t="s">
        <v>156</v>
      </c>
      <c r="D8" s="37">
        <f>D7</f>
        <v>46111</v>
      </c>
      <c r="E8" s="37">
        <f t="shared" si="1"/>
        <v>46113</v>
      </c>
      <c r="F8" s="38">
        <v>3.0</v>
      </c>
      <c r="G8" s="38" t="s">
        <v>148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B9" s="35" t="s">
        <v>48</v>
      </c>
      <c r="C9" s="39" t="s">
        <v>157</v>
      </c>
      <c r="D9" s="37">
        <f t="shared" ref="D9:D12" si="2">E8+1</f>
        <v>46114</v>
      </c>
      <c r="E9" s="37">
        <f t="shared" si="1"/>
        <v>46114</v>
      </c>
      <c r="F9" s="38">
        <v>1.0</v>
      </c>
      <c r="G9" s="38" t="s">
        <v>148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B10" s="35" t="s">
        <v>53</v>
      </c>
      <c r="C10" s="39" t="s">
        <v>158</v>
      </c>
      <c r="D10" s="37">
        <f t="shared" si="2"/>
        <v>46115</v>
      </c>
      <c r="E10" s="37">
        <f t="shared" si="1"/>
        <v>46117</v>
      </c>
      <c r="F10" s="38">
        <v>3.0</v>
      </c>
      <c r="G10" s="38" t="s">
        <v>148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B11" s="35" t="s">
        <v>58</v>
      </c>
      <c r="C11" s="39" t="s">
        <v>159</v>
      </c>
      <c r="D11" s="37">
        <f t="shared" si="2"/>
        <v>46118</v>
      </c>
      <c r="E11" s="37">
        <f t="shared" si="1"/>
        <v>46118</v>
      </c>
      <c r="F11" s="38">
        <v>1.0</v>
      </c>
      <c r="G11" s="38" t="s">
        <v>148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B12" s="40" t="s">
        <v>160</v>
      </c>
      <c r="C12" s="40"/>
      <c r="D12" s="41">
        <f t="shared" si="2"/>
        <v>46119</v>
      </c>
      <c r="E12" s="41">
        <f t="shared" si="1"/>
        <v>46130</v>
      </c>
      <c r="F12" s="40">
        <f>SUM(F13:F17)</f>
        <v>12</v>
      </c>
      <c r="G12" s="40"/>
      <c r="H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B13" s="36" t="s">
        <v>63</v>
      </c>
      <c r="C13" s="39" t="s">
        <v>156</v>
      </c>
      <c r="D13" s="37">
        <f>D12</f>
        <v>46119</v>
      </c>
      <c r="E13" s="37">
        <f t="shared" si="1"/>
        <v>46121</v>
      </c>
      <c r="F13" s="42">
        <v>3.0</v>
      </c>
      <c r="G13" s="43" t="s">
        <v>148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B14" s="36" t="s">
        <v>67</v>
      </c>
      <c r="C14" s="39" t="s">
        <v>158</v>
      </c>
      <c r="D14" s="37">
        <f t="shared" ref="D14:D17" si="3">E13+1</f>
        <v>46122</v>
      </c>
      <c r="E14" s="37">
        <f t="shared" si="1"/>
        <v>46124</v>
      </c>
      <c r="F14" s="42">
        <v>3.0</v>
      </c>
      <c r="G14" s="38" t="s">
        <v>151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B15" s="36" t="s">
        <v>71</v>
      </c>
      <c r="C15" s="39" t="s">
        <v>157</v>
      </c>
      <c r="D15" s="37">
        <f t="shared" si="3"/>
        <v>46125</v>
      </c>
      <c r="E15" s="37">
        <f t="shared" si="1"/>
        <v>46126</v>
      </c>
      <c r="F15" s="42">
        <v>2.0</v>
      </c>
      <c r="G15" s="38" t="s">
        <v>151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B16" s="36" t="s">
        <v>75</v>
      </c>
      <c r="C16" s="39" t="s">
        <v>159</v>
      </c>
      <c r="D16" s="37">
        <f t="shared" si="3"/>
        <v>46127</v>
      </c>
      <c r="E16" s="37">
        <f t="shared" si="1"/>
        <v>46128</v>
      </c>
      <c r="F16" s="42">
        <v>2.0</v>
      </c>
      <c r="G16" s="38" t="s">
        <v>151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B17" s="36" t="s">
        <v>79</v>
      </c>
      <c r="C17" s="39" t="s">
        <v>158</v>
      </c>
      <c r="D17" s="37">
        <f t="shared" si="3"/>
        <v>46129</v>
      </c>
      <c r="E17" s="37">
        <f t="shared" si="1"/>
        <v>46130</v>
      </c>
      <c r="F17" s="42">
        <v>2.0</v>
      </c>
      <c r="G17" s="38" t="s">
        <v>151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B18" s="44" t="s">
        <v>161</v>
      </c>
      <c r="C18" s="44"/>
      <c r="D18" s="45">
        <f>E17+1</f>
        <v>46131</v>
      </c>
      <c r="E18" s="45">
        <f t="shared" si="1"/>
        <v>46142</v>
      </c>
      <c r="F18" s="44">
        <f>SUM(F19:F22)</f>
        <v>12</v>
      </c>
      <c r="G18" s="44" t="s">
        <v>44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B19" s="36" t="s">
        <v>82</v>
      </c>
      <c r="C19" s="39" t="s">
        <v>157</v>
      </c>
      <c r="D19" s="37">
        <f>D18</f>
        <v>46131</v>
      </c>
      <c r="E19" s="37">
        <f t="shared" si="1"/>
        <v>46134</v>
      </c>
      <c r="F19" s="42">
        <v>4.0</v>
      </c>
      <c r="G19" s="42" t="s">
        <v>44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B20" s="36" t="s">
        <v>85</v>
      </c>
      <c r="C20" s="39" t="s">
        <v>156</v>
      </c>
      <c r="D20" s="37">
        <f t="shared" ref="D20:D22" si="4">E19+1</f>
        <v>46135</v>
      </c>
      <c r="E20" s="37">
        <f t="shared" si="1"/>
        <v>46137</v>
      </c>
      <c r="F20" s="42">
        <v>3.0</v>
      </c>
      <c r="G20" s="42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B21" s="36" t="s">
        <v>88</v>
      </c>
      <c r="C21" s="39" t="s">
        <v>159</v>
      </c>
      <c r="D21" s="37">
        <f t="shared" si="4"/>
        <v>46138</v>
      </c>
      <c r="E21" s="37">
        <f t="shared" si="1"/>
        <v>46139</v>
      </c>
      <c r="F21" s="42">
        <v>2.0</v>
      </c>
      <c r="G21" s="42" t="s">
        <v>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B22" s="36" t="s">
        <v>91</v>
      </c>
      <c r="C22" s="39" t="s">
        <v>158</v>
      </c>
      <c r="D22" s="37">
        <f t="shared" si="4"/>
        <v>46140</v>
      </c>
      <c r="E22" s="37">
        <f t="shared" si="1"/>
        <v>46142</v>
      </c>
      <c r="F22" s="42">
        <v>3.0</v>
      </c>
      <c r="G22" s="42" t="s">
        <v>44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B23" s="46" t="s">
        <v>162</v>
      </c>
      <c r="C23" s="46"/>
      <c r="D23" s="47">
        <f>E22+1</f>
        <v>46143</v>
      </c>
      <c r="E23" s="47">
        <f t="shared" si="1"/>
        <v>46152</v>
      </c>
      <c r="F23" s="46">
        <f>SUM(F24:F28)</f>
        <v>10</v>
      </c>
      <c r="G23" s="46" t="s">
        <v>151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B24" s="36" t="s">
        <v>107</v>
      </c>
      <c r="C24" s="39" t="s">
        <v>156</v>
      </c>
      <c r="D24" s="37">
        <f>D23</f>
        <v>46143</v>
      </c>
      <c r="E24" s="37">
        <f t="shared" si="1"/>
        <v>46145</v>
      </c>
      <c r="F24" s="42">
        <v>3.0</v>
      </c>
      <c r="G24" s="42" t="s">
        <v>151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B25" s="36" t="s">
        <v>110</v>
      </c>
      <c r="C25" s="39" t="s">
        <v>157</v>
      </c>
      <c r="D25" s="37">
        <f t="shared" ref="D25:D28" si="5">E24+1</f>
        <v>46146</v>
      </c>
      <c r="E25" s="37">
        <f t="shared" si="1"/>
        <v>46147</v>
      </c>
      <c r="F25" s="42">
        <v>2.0</v>
      </c>
      <c r="G25" s="42" t="s">
        <v>151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B26" s="36" t="s">
        <v>113</v>
      </c>
      <c r="C26" s="39" t="s">
        <v>158</v>
      </c>
      <c r="D26" s="37">
        <f t="shared" si="5"/>
        <v>46148</v>
      </c>
      <c r="E26" s="37">
        <f t="shared" si="1"/>
        <v>46149</v>
      </c>
      <c r="F26" s="42">
        <v>2.0</v>
      </c>
      <c r="G26" s="42" t="s">
        <v>151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B27" s="36" t="s">
        <v>125</v>
      </c>
      <c r="C27" s="39" t="s">
        <v>159</v>
      </c>
      <c r="D27" s="37">
        <f t="shared" si="5"/>
        <v>46150</v>
      </c>
      <c r="E27" s="37">
        <f t="shared" si="1"/>
        <v>46151</v>
      </c>
      <c r="F27" s="42">
        <v>2.0</v>
      </c>
      <c r="G27" s="42" t="s">
        <v>151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B28" s="36" t="s">
        <v>128</v>
      </c>
      <c r="C28" s="39" t="s">
        <v>157</v>
      </c>
      <c r="D28" s="37">
        <f t="shared" si="5"/>
        <v>46152</v>
      </c>
      <c r="E28" s="37">
        <f t="shared" si="1"/>
        <v>46152</v>
      </c>
      <c r="F28" s="42">
        <v>1.0</v>
      </c>
      <c r="G28" s="42" t="s">
        <v>151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B29" s="48" t="s">
        <v>163</v>
      </c>
      <c r="C29" s="48"/>
      <c r="D29" s="49">
        <f>E28+1</f>
        <v>46153</v>
      </c>
      <c r="E29" s="49">
        <f t="shared" si="1"/>
        <v>46160</v>
      </c>
      <c r="F29" s="48">
        <f>SUM(F30:F33)</f>
        <v>8</v>
      </c>
      <c r="G29" s="48" t="s">
        <v>151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B30" s="36" t="s">
        <v>116</v>
      </c>
      <c r="C30" s="39" t="s">
        <v>164</v>
      </c>
      <c r="D30" s="37">
        <f>D29</f>
        <v>46153</v>
      </c>
      <c r="E30" s="50">
        <f t="shared" si="1"/>
        <v>46154</v>
      </c>
      <c r="F30" s="42">
        <v>2.0</v>
      </c>
      <c r="G30" s="42" t="s">
        <v>151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B31" s="36" t="s">
        <v>119</v>
      </c>
      <c r="C31" s="39" t="s">
        <v>158</v>
      </c>
      <c r="D31" s="37">
        <f t="shared" ref="D31:D33" si="6">E30+1</f>
        <v>46155</v>
      </c>
      <c r="E31" s="50">
        <f t="shared" si="1"/>
        <v>46156</v>
      </c>
      <c r="F31" s="42">
        <v>2.0</v>
      </c>
      <c r="G31" s="42" t="s">
        <v>151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B32" s="36" t="s">
        <v>122</v>
      </c>
      <c r="C32" s="39" t="s">
        <v>157</v>
      </c>
      <c r="D32" s="37">
        <f t="shared" si="6"/>
        <v>46157</v>
      </c>
      <c r="E32" s="50">
        <f t="shared" si="1"/>
        <v>46157</v>
      </c>
      <c r="F32" s="42">
        <v>1.0</v>
      </c>
      <c r="G32" s="42" t="s">
        <v>151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B33" s="36" t="s">
        <v>165</v>
      </c>
      <c r="C33" s="39" t="s">
        <v>156</v>
      </c>
      <c r="D33" s="37">
        <f t="shared" si="6"/>
        <v>46158</v>
      </c>
      <c r="E33" s="50">
        <f t="shared" si="1"/>
        <v>46160</v>
      </c>
      <c r="F33" s="42">
        <v>3.0</v>
      </c>
      <c r="G33" s="42" t="s">
        <v>151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B34" s="51" t="s">
        <v>166</v>
      </c>
      <c r="C34" s="51"/>
      <c r="D34" s="52">
        <f>E33+1</f>
        <v>46161</v>
      </c>
      <c r="E34" s="52">
        <f t="shared" si="1"/>
        <v>46172</v>
      </c>
      <c r="F34" s="51">
        <f>SUM(F35:F39)</f>
        <v>12</v>
      </c>
      <c r="G34" s="51" t="s">
        <v>151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B35" s="36" t="s">
        <v>94</v>
      </c>
      <c r="C35" s="39" t="s">
        <v>157</v>
      </c>
      <c r="D35" s="37">
        <f>E33+1</f>
        <v>46161</v>
      </c>
      <c r="E35" s="37">
        <f t="shared" si="1"/>
        <v>46161</v>
      </c>
      <c r="F35" s="42">
        <v>1.0</v>
      </c>
      <c r="G35" s="42" t="s">
        <v>151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B36" s="36" t="s">
        <v>104</v>
      </c>
      <c r="C36" s="39" t="s">
        <v>159</v>
      </c>
      <c r="D36" s="37">
        <f t="shared" ref="D36:D39" si="7">E35+1</f>
        <v>46162</v>
      </c>
      <c r="E36" s="37">
        <f t="shared" si="1"/>
        <v>46163</v>
      </c>
      <c r="F36" s="42">
        <v>2.0</v>
      </c>
      <c r="G36" s="42" t="s">
        <v>151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B37" s="36" t="s">
        <v>143</v>
      </c>
      <c r="C37" s="39" t="s">
        <v>156</v>
      </c>
      <c r="D37" s="37">
        <f t="shared" si="7"/>
        <v>46164</v>
      </c>
      <c r="E37" s="37">
        <f t="shared" si="1"/>
        <v>46168</v>
      </c>
      <c r="F37" s="42">
        <v>5.0</v>
      </c>
      <c r="G37" s="42" t="s">
        <v>151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B38" s="36" t="s">
        <v>131</v>
      </c>
      <c r="C38" s="39" t="s">
        <v>158</v>
      </c>
      <c r="D38" s="37">
        <f t="shared" si="7"/>
        <v>46169</v>
      </c>
      <c r="E38" s="37">
        <f t="shared" si="1"/>
        <v>46170</v>
      </c>
      <c r="F38" s="42">
        <v>2.0</v>
      </c>
      <c r="G38" s="42" t="s">
        <v>151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B39" s="36" t="s">
        <v>137</v>
      </c>
      <c r="C39" s="39" t="s">
        <v>156</v>
      </c>
      <c r="D39" s="37">
        <f t="shared" si="7"/>
        <v>46171</v>
      </c>
      <c r="E39" s="37">
        <f t="shared" si="1"/>
        <v>46172</v>
      </c>
      <c r="F39" s="42">
        <v>2.0</v>
      </c>
      <c r="G39" s="42" t="s">
        <v>151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B41" s="53"/>
      <c r="C41" s="1"/>
      <c r="D41" s="54"/>
      <c r="E41" s="5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B42" s="1"/>
      <c r="C42" s="1"/>
      <c r="D42" s="54"/>
      <c r="E42" s="5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B43" s="1"/>
      <c r="C43" s="1"/>
      <c r="D43" s="54"/>
      <c r="E43" s="5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B44" s="1"/>
      <c r="C44" s="1"/>
      <c r="D44" s="54"/>
      <c r="E44" s="5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B45" s="1"/>
      <c r="C45" s="1"/>
      <c r="D45" s="54"/>
      <c r="E45" s="5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B46" s="1"/>
      <c r="C46" s="1"/>
      <c r="D46" s="54"/>
      <c r="E46" s="5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B47" s="1"/>
      <c r="C47" s="1"/>
      <c r="D47" s="54"/>
      <c r="E47" s="5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B48" s="1"/>
      <c r="C48" s="1"/>
      <c r="D48" s="54"/>
      <c r="E48" s="5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B49" s="1"/>
      <c r="C49" s="1"/>
      <c r="D49" s="54"/>
      <c r="E49" s="5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B50" s="1"/>
      <c r="C50" s="1"/>
      <c r="D50" s="54"/>
      <c r="E50" s="5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B51" s="1"/>
      <c r="C51" s="1"/>
      <c r="D51" s="54"/>
      <c r="E51" s="5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B52" s="1"/>
      <c r="C52" s="1"/>
      <c r="D52" s="54"/>
      <c r="E52" s="5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B53" s="1"/>
      <c r="C53" s="1"/>
      <c r="D53" s="54"/>
      <c r="E53" s="5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B54" s="1"/>
      <c r="C54" s="1"/>
      <c r="D54" s="54"/>
      <c r="E54" s="5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B55" s="1"/>
      <c r="C55" s="1"/>
      <c r="D55" s="54"/>
      <c r="E55" s="5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B56" s="1"/>
      <c r="C56" s="1"/>
      <c r="D56" s="54"/>
      <c r="E56" s="5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B57" s="1"/>
      <c r="C57" s="1"/>
      <c r="D57" s="54"/>
      <c r="E57" s="5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B58" s="1"/>
      <c r="C58" s="1"/>
      <c r="D58" s="54"/>
      <c r="E58" s="5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B59" s="1"/>
      <c r="C59" s="1"/>
      <c r="D59" s="54"/>
      <c r="E59" s="5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B60" s="1"/>
      <c r="C60" s="1"/>
      <c r="D60" s="54"/>
      <c r="E60" s="5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B61" s="1"/>
      <c r="C61" s="1"/>
      <c r="D61" s="54"/>
      <c r="E61" s="5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B62" s="1"/>
      <c r="C62" s="1"/>
      <c r="D62" s="54"/>
      <c r="E62" s="5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B63" s="1"/>
      <c r="C63" s="1"/>
      <c r="D63" s="54"/>
      <c r="E63" s="5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B64" s="1"/>
      <c r="C64" s="1"/>
      <c r="D64" s="54"/>
      <c r="E64" s="5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B65" s="1"/>
      <c r="C65" s="1"/>
      <c r="D65" s="54"/>
      <c r="E65" s="5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B66" s="1"/>
      <c r="C66" s="1"/>
      <c r="D66" s="54"/>
      <c r="E66" s="5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B67" s="1"/>
      <c r="C67" s="1"/>
      <c r="D67" s="54"/>
      <c r="E67" s="5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B68" s="1"/>
      <c r="C68" s="1"/>
      <c r="D68" s="54"/>
      <c r="E68" s="5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B69" s="1"/>
      <c r="C69" s="1"/>
      <c r="D69" s="54"/>
      <c r="E69" s="5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B70" s="1"/>
      <c r="C70" s="1"/>
      <c r="D70" s="54"/>
      <c r="E70" s="5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B71" s="1"/>
      <c r="C71" s="1"/>
      <c r="D71" s="54"/>
      <c r="E71" s="5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B72" s="1"/>
      <c r="C72" s="1"/>
      <c r="D72" s="54"/>
      <c r="E72" s="5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B73" s="1"/>
      <c r="C73" s="1"/>
      <c r="D73" s="54"/>
      <c r="E73" s="5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B74" s="1"/>
      <c r="C74" s="1"/>
      <c r="D74" s="54"/>
      <c r="E74" s="5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G1"/>
    <mergeCell ref="C2:G2"/>
  </mergeCells>
  <dataValidations>
    <dataValidation type="list" allowBlank="1" showErrorMessage="1" sqref="G7:G39">
      <formula1>$I$2:$I$5</formula1>
    </dataValidation>
    <dataValidation type="list" allowBlank="1" showErrorMessage="1" sqref="B8:B11 B13:B17 B24:B28 B30:B33 B35:B39">
      <formula1>YesNo</formula1>
    </dataValidation>
  </dataValidations>
  <printOptions/>
  <pageMargins bottom="1.0" footer="0.0" header="0.0" left="0.75" right="0.75" top="1.0"/>
  <pageSetup orientation="portrait"/>
  <headerFooter>
    <oddHeader>&amp;C000000Gantt Chart_x000D_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7.78"/>
    <col customWidth="1" min="3" max="3" width="35.78"/>
    <col customWidth="1" min="4" max="4" width="26.11"/>
    <col customWidth="1" min="5" max="5" width="12.44"/>
    <col customWidth="1" min="6" max="6" width="13.0"/>
    <col customWidth="1" min="7" max="7" width="12.33"/>
    <col customWidth="1" min="8" max="8" width="10.11"/>
    <col customWidth="1" min="9" max="9" width="9.0"/>
    <col customWidth="1" min="10" max="10" width="6.0"/>
    <col customWidth="1" min="12" max="12" width="14.44"/>
  </cols>
  <sheetData>
    <row r="1" ht="30.75" customHeight="1">
      <c r="A1" s="55" t="s">
        <v>167</v>
      </c>
      <c r="B1" s="56" t="s">
        <v>168</v>
      </c>
      <c r="C1" s="56" t="s">
        <v>34</v>
      </c>
      <c r="D1" s="56" t="s">
        <v>169</v>
      </c>
      <c r="E1" s="56" t="s">
        <v>36</v>
      </c>
      <c r="F1" s="56" t="s">
        <v>37</v>
      </c>
      <c r="G1" s="57" t="s">
        <v>170</v>
      </c>
      <c r="H1" s="58" t="s">
        <v>171</v>
      </c>
      <c r="I1" s="58" t="s">
        <v>172</v>
      </c>
      <c r="J1" s="1"/>
      <c r="K1" s="1"/>
      <c r="L1" s="59" t="s">
        <v>173</v>
      </c>
      <c r="M1" s="1"/>
      <c r="N1" s="1"/>
      <c r="O1" s="1"/>
      <c r="P1" s="1"/>
      <c r="Q1" s="1"/>
      <c r="R1" s="1"/>
      <c r="S1" s="1"/>
      <c r="T1" s="1"/>
      <c r="U1" s="1"/>
    </row>
    <row r="2">
      <c r="A2" s="60" t="s">
        <v>174</v>
      </c>
      <c r="B2" s="61" t="s">
        <v>40</v>
      </c>
      <c r="C2" s="62" t="s">
        <v>41</v>
      </c>
      <c r="D2" s="63" t="s">
        <v>175</v>
      </c>
      <c r="E2" s="62" t="s">
        <v>156</v>
      </c>
      <c r="F2" s="64" t="s">
        <v>148</v>
      </c>
      <c r="G2" s="65">
        <v>3.0</v>
      </c>
      <c r="H2" s="66"/>
      <c r="I2" s="67"/>
      <c r="J2" s="1"/>
      <c r="K2" s="1"/>
      <c r="L2" s="68" t="s">
        <v>148</v>
      </c>
      <c r="M2" s="1"/>
      <c r="N2" s="1"/>
      <c r="O2" s="1"/>
      <c r="P2" s="1"/>
      <c r="Q2" s="1"/>
      <c r="R2" s="1"/>
      <c r="S2" s="1"/>
      <c r="T2" s="1"/>
      <c r="U2" s="1"/>
    </row>
    <row r="3">
      <c r="A3" s="69"/>
      <c r="B3" s="69"/>
      <c r="C3" s="69"/>
      <c r="D3" s="70" t="s">
        <v>176</v>
      </c>
      <c r="E3" s="69"/>
      <c r="F3" s="64" t="s">
        <v>148</v>
      </c>
      <c r="G3" s="65">
        <v>5.0</v>
      </c>
      <c r="H3" s="66"/>
      <c r="I3" s="67"/>
      <c r="J3" s="1"/>
      <c r="K3" s="1"/>
      <c r="L3" s="68" t="s">
        <v>44</v>
      </c>
      <c r="M3" s="1"/>
      <c r="N3" s="1"/>
      <c r="O3" s="1"/>
      <c r="P3" s="1"/>
      <c r="Q3" s="1"/>
      <c r="R3" s="1"/>
      <c r="S3" s="1"/>
      <c r="T3" s="1"/>
      <c r="U3" s="1"/>
    </row>
    <row r="4">
      <c r="A4" s="69"/>
      <c r="B4" s="69"/>
      <c r="C4" s="69"/>
      <c r="D4" s="71" t="s">
        <v>177</v>
      </c>
      <c r="E4" s="69"/>
      <c r="F4" s="64" t="s">
        <v>148</v>
      </c>
      <c r="G4" s="65">
        <v>2.0</v>
      </c>
      <c r="H4" s="66"/>
      <c r="I4" s="67"/>
      <c r="J4" s="1"/>
      <c r="K4" s="1"/>
      <c r="L4" s="68"/>
      <c r="M4" s="1"/>
      <c r="N4" s="1"/>
      <c r="O4" s="1"/>
      <c r="P4" s="1"/>
      <c r="Q4" s="1"/>
      <c r="R4" s="1"/>
      <c r="S4" s="1"/>
      <c r="T4" s="1"/>
      <c r="U4" s="1"/>
    </row>
    <row r="5">
      <c r="A5" s="69"/>
      <c r="B5" s="72"/>
      <c r="C5" s="72"/>
      <c r="D5" s="71" t="s">
        <v>178</v>
      </c>
      <c r="E5" s="72"/>
      <c r="F5" s="64" t="s">
        <v>148</v>
      </c>
      <c r="G5" s="65">
        <v>4.0</v>
      </c>
      <c r="H5" s="66">
        <f>SUM(G2:G5)</f>
        <v>14</v>
      </c>
      <c r="I5" s="67">
        <f>H5/8</f>
        <v>1.75</v>
      </c>
      <c r="J5" s="1"/>
      <c r="K5" s="1"/>
      <c r="L5" s="68" t="s">
        <v>151</v>
      </c>
      <c r="M5" s="1"/>
      <c r="N5" s="1"/>
      <c r="O5" s="1"/>
      <c r="P5" s="1"/>
      <c r="Q5" s="1"/>
      <c r="R5" s="1"/>
      <c r="S5" s="1"/>
      <c r="T5" s="1"/>
      <c r="U5" s="1"/>
    </row>
    <row r="6">
      <c r="A6" s="69"/>
      <c r="B6" s="61" t="s">
        <v>46</v>
      </c>
      <c r="C6" s="73" t="s">
        <v>47</v>
      </c>
      <c r="D6" s="74" t="s">
        <v>179</v>
      </c>
      <c r="E6" s="70" t="s">
        <v>157</v>
      </c>
      <c r="F6" s="64" t="s">
        <v>148</v>
      </c>
      <c r="G6" s="75">
        <v>5.0</v>
      </c>
      <c r="H6" s="66"/>
      <c r="I6" s="6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69"/>
      <c r="B7" s="69"/>
      <c r="C7" s="76"/>
      <c r="D7" s="74" t="s">
        <v>180</v>
      </c>
      <c r="E7" s="77"/>
      <c r="F7" s="64" t="s">
        <v>148</v>
      </c>
      <c r="G7" s="75">
        <v>8.0</v>
      </c>
      <c r="H7" s="66"/>
      <c r="I7" s="67"/>
      <c r="J7" s="1"/>
      <c r="K7" s="1"/>
      <c r="L7" s="78" t="s">
        <v>181</v>
      </c>
      <c r="M7" s="79"/>
      <c r="N7" s="79"/>
      <c r="O7" s="80"/>
      <c r="P7" s="1"/>
      <c r="Q7" s="1"/>
      <c r="R7" s="1"/>
      <c r="S7" s="1"/>
      <c r="T7" s="1"/>
      <c r="U7" s="1"/>
    </row>
    <row r="8">
      <c r="A8" s="69"/>
      <c r="B8" s="72"/>
      <c r="C8" s="81"/>
      <c r="D8" s="74" t="s">
        <v>182</v>
      </c>
      <c r="E8" s="82"/>
      <c r="F8" s="64" t="s">
        <v>148</v>
      </c>
      <c r="G8" s="75">
        <v>2.0</v>
      </c>
      <c r="H8" s="66">
        <f>SUM(G6:G8)</f>
        <v>15</v>
      </c>
      <c r="I8" s="67">
        <f>H8/8</f>
        <v>1.875</v>
      </c>
      <c r="J8" s="1"/>
      <c r="K8" s="1"/>
      <c r="L8" s="83"/>
      <c r="O8" s="84"/>
      <c r="P8" s="1"/>
      <c r="Q8" s="1"/>
      <c r="R8" s="1"/>
      <c r="S8" s="1"/>
      <c r="T8" s="1"/>
      <c r="U8" s="1"/>
    </row>
    <row r="9">
      <c r="A9" s="69"/>
      <c r="B9" s="85" t="s">
        <v>51</v>
      </c>
      <c r="C9" s="86" t="s">
        <v>52</v>
      </c>
      <c r="D9" s="87" t="s">
        <v>183</v>
      </c>
      <c r="E9" s="88" t="s">
        <v>158</v>
      </c>
      <c r="F9" s="64" t="s">
        <v>148</v>
      </c>
      <c r="G9" s="89">
        <v>5.0</v>
      </c>
      <c r="H9" s="66"/>
      <c r="I9" s="67"/>
      <c r="J9" s="1"/>
      <c r="K9" s="1"/>
      <c r="L9" s="83"/>
      <c r="O9" s="84"/>
      <c r="P9" s="1"/>
      <c r="Q9" s="1"/>
      <c r="R9" s="1"/>
      <c r="S9" s="1"/>
      <c r="T9" s="1"/>
      <c r="U9" s="1"/>
    </row>
    <row r="10">
      <c r="A10" s="69"/>
      <c r="B10" s="69"/>
      <c r="C10" s="76"/>
      <c r="D10" s="87" t="s">
        <v>184</v>
      </c>
      <c r="E10" s="77"/>
      <c r="F10" s="64" t="s">
        <v>148</v>
      </c>
      <c r="G10" s="89">
        <v>8.0</v>
      </c>
      <c r="H10" s="66"/>
      <c r="I10" s="67"/>
      <c r="J10" s="1"/>
      <c r="K10" s="1"/>
      <c r="L10" s="83"/>
      <c r="O10" s="84"/>
      <c r="P10" s="1"/>
      <c r="Q10" s="1"/>
      <c r="R10" s="1"/>
      <c r="S10" s="1"/>
      <c r="T10" s="1"/>
      <c r="U10" s="1"/>
    </row>
    <row r="11">
      <c r="A11" s="69"/>
      <c r="B11" s="72"/>
      <c r="C11" s="81"/>
      <c r="D11" s="87" t="s">
        <v>185</v>
      </c>
      <c r="E11" s="82"/>
      <c r="F11" s="64" t="s">
        <v>148</v>
      </c>
      <c r="G11" s="89">
        <v>3.0</v>
      </c>
      <c r="H11" s="66">
        <f>SUM(G9:G11)</f>
        <v>16</v>
      </c>
      <c r="I11" s="67">
        <f>H11/8</f>
        <v>2</v>
      </c>
      <c r="J11" s="1"/>
      <c r="K11" s="1"/>
      <c r="L11" s="83"/>
      <c r="O11" s="84"/>
      <c r="P11" s="1"/>
      <c r="Q11" s="1"/>
      <c r="R11" s="1"/>
      <c r="S11" s="1"/>
      <c r="T11" s="1"/>
      <c r="U11" s="1"/>
    </row>
    <row r="12">
      <c r="A12" s="69"/>
      <c r="B12" s="85" t="s">
        <v>56</v>
      </c>
      <c r="C12" s="90" t="s">
        <v>57</v>
      </c>
      <c r="D12" s="87" t="s">
        <v>186</v>
      </c>
      <c r="E12" s="88" t="s">
        <v>159</v>
      </c>
      <c r="F12" s="64" t="s">
        <v>148</v>
      </c>
      <c r="G12" s="89">
        <v>5.0</v>
      </c>
      <c r="H12" s="66"/>
      <c r="I12" s="67"/>
      <c r="J12" s="1"/>
      <c r="K12" s="1"/>
      <c r="L12" s="83"/>
      <c r="O12" s="84"/>
      <c r="P12" s="1"/>
      <c r="Q12" s="1"/>
      <c r="R12" s="1"/>
      <c r="S12" s="1"/>
      <c r="T12" s="1"/>
      <c r="U12" s="1"/>
    </row>
    <row r="13">
      <c r="A13" s="69"/>
      <c r="B13" s="69"/>
      <c r="C13" s="76"/>
      <c r="D13" s="87" t="s">
        <v>187</v>
      </c>
      <c r="E13" s="77"/>
      <c r="F13" s="64" t="s">
        <v>148</v>
      </c>
      <c r="G13" s="91">
        <v>3.0</v>
      </c>
      <c r="H13" s="66"/>
      <c r="I13" s="67"/>
      <c r="J13" s="1"/>
      <c r="K13" s="1"/>
      <c r="L13" s="83"/>
      <c r="O13" s="84"/>
      <c r="P13" s="1"/>
      <c r="Q13" s="1"/>
      <c r="R13" s="1"/>
      <c r="S13" s="1"/>
      <c r="T13" s="1"/>
      <c r="U13" s="1"/>
    </row>
    <row r="14">
      <c r="A14" s="72"/>
      <c r="B14" s="72"/>
      <c r="C14" s="81"/>
      <c r="D14" s="87" t="s">
        <v>188</v>
      </c>
      <c r="E14" s="82"/>
      <c r="F14" s="64" t="s">
        <v>148</v>
      </c>
      <c r="G14" s="92">
        <v>3.0</v>
      </c>
      <c r="H14" s="66">
        <f>SUM(G12:G14)</f>
        <v>11</v>
      </c>
      <c r="I14" s="67">
        <f>H14/8</f>
        <v>1.375</v>
      </c>
      <c r="J14" s="1"/>
      <c r="K14" s="1"/>
      <c r="L14" s="83"/>
      <c r="O14" s="84"/>
      <c r="P14" s="1"/>
      <c r="Q14" s="1"/>
      <c r="R14" s="1"/>
      <c r="S14" s="1"/>
      <c r="T14" s="1"/>
      <c r="U14" s="1"/>
    </row>
    <row r="15">
      <c r="A15" s="93" t="s">
        <v>189</v>
      </c>
      <c r="B15" s="94"/>
      <c r="C15" s="94"/>
      <c r="D15" s="94"/>
      <c r="E15" s="94"/>
      <c r="F15" s="94"/>
      <c r="G15" s="95"/>
      <c r="H15" s="96">
        <f t="shared" ref="H15:I15" si="1">SUM(H2:H14)</f>
        <v>56</v>
      </c>
      <c r="I15" s="97">
        <f t="shared" si="1"/>
        <v>7</v>
      </c>
      <c r="J15" s="1"/>
      <c r="K15" s="1"/>
      <c r="L15" s="98"/>
      <c r="M15" s="99"/>
      <c r="N15" s="99"/>
      <c r="O15" s="100"/>
      <c r="P15" s="1"/>
      <c r="Q15" s="1"/>
      <c r="R15" s="1"/>
      <c r="S15" s="1"/>
      <c r="T15" s="1"/>
      <c r="U15" s="1"/>
    </row>
    <row r="16">
      <c r="A16" s="60" t="s">
        <v>190</v>
      </c>
      <c r="B16" s="85" t="s">
        <v>61</v>
      </c>
      <c r="C16" s="62" t="s">
        <v>62</v>
      </c>
      <c r="D16" s="63" t="s">
        <v>191</v>
      </c>
      <c r="E16" s="101" t="s">
        <v>156</v>
      </c>
      <c r="F16" s="64" t="s">
        <v>148</v>
      </c>
      <c r="G16" s="65">
        <v>5.0</v>
      </c>
      <c r="H16" s="66"/>
      <c r="I16" s="6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69"/>
      <c r="B17" s="69"/>
      <c r="C17" s="69"/>
      <c r="D17" s="63" t="s">
        <v>192</v>
      </c>
      <c r="E17" s="69"/>
      <c r="F17" s="64" t="s">
        <v>148</v>
      </c>
      <c r="G17" s="65">
        <v>5.0</v>
      </c>
      <c r="H17" s="66"/>
      <c r="I17" s="6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69"/>
      <c r="B18" s="72"/>
      <c r="C18" s="72"/>
      <c r="D18" s="63" t="s">
        <v>193</v>
      </c>
      <c r="E18" s="72"/>
      <c r="F18" s="64" t="s">
        <v>148</v>
      </c>
      <c r="G18" s="65">
        <v>5.0</v>
      </c>
      <c r="H18" s="66">
        <f>SUM(G16:G18)</f>
        <v>15</v>
      </c>
      <c r="I18" s="67">
        <f>H18/8</f>
        <v>1.875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69"/>
      <c r="B19" s="85" t="s">
        <v>65</v>
      </c>
      <c r="C19" s="62" t="s">
        <v>66</v>
      </c>
      <c r="D19" s="63" t="s">
        <v>194</v>
      </c>
      <c r="E19" s="101" t="s">
        <v>158</v>
      </c>
      <c r="F19" s="64" t="s">
        <v>148</v>
      </c>
      <c r="G19" s="65">
        <v>4.0</v>
      </c>
      <c r="H19" s="66"/>
      <c r="I19" s="6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69"/>
      <c r="B20" s="69"/>
      <c r="C20" s="69"/>
      <c r="D20" s="63" t="s">
        <v>195</v>
      </c>
      <c r="E20" s="69"/>
      <c r="F20" s="64" t="s">
        <v>148</v>
      </c>
      <c r="G20" s="65">
        <v>5.0</v>
      </c>
      <c r="H20" s="66"/>
      <c r="I20" s="6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69"/>
      <c r="B21" s="72"/>
      <c r="C21" s="72"/>
      <c r="D21" s="63" t="s">
        <v>196</v>
      </c>
      <c r="E21" s="72"/>
      <c r="F21" s="64" t="s">
        <v>148</v>
      </c>
      <c r="G21" s="65">
        <v>8.0</v>
      </c>
      <c r="H21" s="66">
        <f>SUM(G19:G21)</f>
        <v>17</v>
      </c>
      <c r="I21" s="67">
        <f>H21/8</f>
        <v>2.125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69"/>
      <c r="B22" s="85" t="s">
        <v>69</v>
      </c>
      <c r="C22" s="102" t="s">
        <v>70</v>
      </c>
      <c r="D22" s="63" t="s">
        <v>197</v>
      </c>
      <c r="E22" s="88" t="s">
        <v>157</v>
      </c>
      <c r="F22" s="64" t="s">
        <v>148</v>
      </c>
      <c r="G22" s="91">
        <v>3.0</v>
      </c>
      <c r="H22" s="66"/>
      <c r="I22" s="6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69"/>
      <c r="B23" s="69"/>
      <c r="C23" s="69"/>
      <c r="D23" s="63" t="s">
        <v>198</v>
      </c>
      <c r="E23" s="77"/>
      <c r="F23" s="64" t="s">
        <v>148</v>
      </c>
      <c r="G23" s="91">
        <v>3.0</v>
      </c>
      <c r="H23" s="66"/>
      <c r="I23" s="6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69"/>
      <c r="B24" s="72"/>
      <c r="C24" s="72"/>
      <c r="D24" s="63" t="s">
        <v>199</v>
      </c>
      <c r="E24" s="82"/>
      <c r="F24" s="64" t="s">
        <v>148</v>
      </c>
      <c r="G24" s="91">
        <v>3.0</v>
      </c>
      <c r="H24" s="66">
        <f>SUM(G22:G24)</f>
        <v>9</v>
      </c>
      <c r="I24" s="67">
        <f>H24/8</f>
        <v>1.125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69"/>
      <c r="B25" s="85" t="s">
        <v>73</v>
      </c>
      <c r="C25" s="102" t="s">
        <v>74</v>
      </c>
      <c r="D25" s="89" t="s">
        <v>200</v>
      </c>
      <c r="E25" s="88" t="s">
        <v>159</v>
      </c>
      <c r="F25" s="64" t="s">
        <v>148</v>
      </c>
      <c r="G25" s="91">
        <v>8.0</v>
      </c>
      <c r="H25" s="66"/>
      <c r="I25" s="6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69"/>
      <c r="B26" s="69"/>
      <c r="C26" s="69"/>
      <c r="D26" s="89" t="s">
        <v>201</v>
      </c>
      <c r="E26" s="77"/>
      <c r="F26" s="64" t="s">
        <v>148</v>
      </c>
      <c r="G26" s="91">
        <v>5.0</v>
      </c>
      <c r="H26" s="66"/>
      <c r="I26" s="6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69"/>
      <c r="B27" s="72"/>
      <c r="C27" s="72"/>
      <c r="D27" s="89" t="s">
        <v>202</v>
      </c>
      <c r="E27" s="82"/>
      <c r="F27" s="64" t="s">
        <v>148</v>
      </c>
      <c r="G27" s="91">
        <v>5.0</v>
      </c>
      <c r="H27" s="66">
        <f>SUM(G25:G27)</f>
        <v>18</v>
      </c>
      <c r="I27" s="67">
        <f>H27/8</f>
        <v>2.25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69"/>
      <c r="B28" s="85" t="s">
        <v>77</v>
      </c>
      <c r="C28" s="103" t="s">
        <v>78</v>
      </c>
      <c r="D28" s="89" t="s">
        <v>203</v>
      </c>
      <c r="E28" s="103" t="s">
        <v>158</v>
      </c>
      <c r="F28" s="64" t="s">
        <v>148</v>
      </c>
      <c r="G28" s="91">
        <v>8.0</v>
      </c>
      <c r="H28" s="104"/>
      <c r="I28" s="10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72"/>
      <c r="B29" s="72"/>
      <c r="C29" s="72"/>
      <c r="D29" s="89" t="s">
        <v>204</v>
      </c>
      <c r="E29" s="72"/>
      <c r="F29" s="64" t="s">
        <v>148</v>
      </c>
      <c r="G29" s="91">
        <v>12.0</v>
      </c>
      <c r="H29" s="104">
        <f>SUM(G28:G29)</f>
        <v>20</v>
      </c>
      <c r="I29" s="67">
        <f>H29/8</f>
        <v>2.5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93" t="s">
        <v>189</v>
      </c>
      <c r="B30" s="94"/>
      <c r="C30" s="94"/>
      <c r="D30" s="94"/>
      <c r="E30" s="94"/>
      <c r="F30" s="94"/>
      <c r="G30" s="95"/>
      <c r="H30" s="96">
        <f t="shared" ref="H30:I30" si="2">SUM(H16:H29)</f>
        <v>79</v>
      </c>
      <c r="I30" s="97">
        <f t="shared" si="2"/>
        <v>9.875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60" t="s">
        <v>205</v>
      </c>
      <c r="B31" s="85" t="s">
        <v>80</v>
      </c>
      <c r="C31" s="62" t="s">
        <v>81</v>
      </c>
      <c r="D31" s="71" t="s">
        <v>206</v>
      </c>
      <c r="E31" s="62" t="s">
        <v>157</v>
      </c>
      <c r="F31" s="64" t="s">
        <v>148</v>
      </c>
      <c r="G31" s="106">
        <v>7.0</v>
      </c>
      <c r="H31" s="106"/>
      <c r="I31" s="107"/>
      <c r="J31" s="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69"/>
      <c r="B32" s="69"/>
      <c r="C32" s="69"/>
      <c r="D32" s="71" t="s">
        <v>207</v>
      </c>
      <c r="E32" s="69"/>
      <c r="F32" s="64" t="s">
        <v>148</v>
      </c>
      <c r="G32" s="106">
        <v>4.0</v>
      </c>
      <c r="H32" s="106"/>
      <c r="I32" s="107"/>
      <c r="J32" s="1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69"/>
      <c r="B33" s="72"/>
      <c r="C33" s="72"/>
      <c r="D33" s="71" t="s">
        <v>208</v>
      </c>
      <c r="E33" s="72"/>
      <c r="F33" s="64" t="s">
        <v>148</v>
      </c>
      <c r="G33" s="106">
        <v>8.0</v>
      </c>
      <c r="H33" s="106">
        <f>SUM(G31:G33)</f>
        <v>19</v>
      </c>
      <c r="I33" s="67">
        <f>H33/8</f>
        <v>2.375</v>
      </c>
      <c r="J33" s="1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69"/>
      <c r="B34" s="85" t="s">
        <v>83</v>
      </c>
      <c r="C34" s="108" t="s">
        <v>84</v>
      </c>
      <c r="D34" s="71" t="s">
        <v>209</v>
      </c>
      <c r="E34" s="62" t="s">
        <v>156</v>
      </c>
      <c r="F34" s="64" t="s">
        <v>210</v>
      </c>
      <c r="G34" s="109">
        <v>6.0</v>
      </c>
      <c r="H34" s="106"/>
      <c r="I34" s="107"/>
      <c r="J34" s="1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69"/>
      <c r="B35" s="69"/>
      <c r="C35" s="69"/>
      <c r="D35" s="71" t="s">
        <v>211</v>
      </c>
      <c r="E35" s="69"/>
      <c r="F35" s="64" t="s">
        <v>210</v>
      </c>
      <c r="G35" s="109">
        <v>4.0</v>
      </c>
      <c r="H35" s="106"/>
      <c r="I35" s="107"/>
      <c r="J35" s="1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69"/>
      <c r="B36" s="72"/>
      <c r="C36" s="72"/>
      <c r="D36" s="71" t="s">
        <v>212</v>
      </c>
      <c r="E36" s="72"/>
      <c r="F36" s="64" t="s">
        <v>210</v>
      </c>
      <c r="G36" s="110">
        <v>4.0</v>
      </c>
      <c r="H36" s="106">
        <f>SUM(G34:G36)</f>
        <v>14</v>
      </c>
      <c r="I36" s="67">
        <f>H36/8</f>
        <v>1.75</v>
      </c>
      <c r="J36" s="1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69"/>
      <c r="B37" s="85" t="s">
        <v>86</v>
      </c>
      <c r="C37" s="108" t="s">
        <v>87</v>
      </c>
      <c r="D37" s="71" t="s">
        <v>213</v>
      </c>
      <c r="E37" s="88" t="s">
        <v>159</v>
      </c>
      <c r="F37" s="64" t="s">
        <v>148</v>
      </c>
      <c r="G37" s="111">
        <v>3.0</v>
      </c>
      <c r="H37" s="106"/>
      <c r="I37" s="107"/>
      <c r="J37" s="1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41.25" customHeight="1">
      <c r="A38" s="69"/>
      <c r="B38" s="72"/>
      <c r="C38" s="72"/>
      <c r="D38" s="71" t="s">
        <v>214</v>
      </c>
      <c r="E38" s="82"/>
      <c r="F38" s="64" t="s">
        <v>148</v>
      </c>
      <c r="G38" s="92">
        <v>4.0</v>
      </c>
      <c r="H38" s="106">
        <f>SUM(G37:G38)</f>
        <v>7</v>
      </c>
      <c r="I38" s="67">
        <f>H38/8</f>
        <v>0.875</v>
      </c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38.25" customHeight="1">
      <c r="A39" s="69"/>
      <c r="B39" s="85" t="s">
        <v>89</v>
      </c>
      <c r="C39" s="112" t="s">
        <v>90</v>
      </c>
      <c r="D39" s="71" t="s">
        <v>215</v>
      </c>
      <c r="E39" s="102" t="s">
        <v>158</v>
      </c>
      <c r="F39" s="64" t="s">
        <v>148</v>
      </c>
      <c r="G39" s="111">
        <v>4.0</v>
      </c>
      <c r="H39" s="113" t="s">
        <v>216</v>
      </c>
      <c r="I39" s="107"/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72"/>
      <c r="B40" s="72"/>
      <c r="C40" s="72"/>
      <c r="D40" s="71" t="s">
        <v>217</v>
      </c>
      <c r="E40" s="72"/>
      <c r="F40" s="64" t="s">
        <v>148</v>
      </c>
      <c r="G40" s="111">
        <v>4.0</v>
      </c>
      <c r="H40" s="106">
        <f>SUM(G39:G40)</f>
        <v>8</v>
      </c>
      <c r="I40" s="67">
        <f>H40/8</f>
        <v>1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93" t="s">
        <v>189</v>
      </c>
      <c r="B41" s="94"/>
      <c r="C41" s="94"/>
      <c r="D41" s="94"/>
      <c r="E41" s="94"/>
      <c r="F41" s="94"/>
      <c r="G41" s="95"/>
      <c r="H41" s="114">
        <f t="shared" ref="H41:I41" si="3">SUM(H31:H40)</f>
        <v>48</v>
      </c>
      <c r="I41" s="115">
        <f t="shared" si="3"/>
        <v>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60" t="s">
        <v>218</v>
      </c>
      <c r="B42" s="85" t="s">
        <v>105</v>
      </c>
      <c r="C42" s="112" t="s">
        <v>106</v>
      </c>
      <c r="D42" s="116" t="s">
        <v>219</v>
      </c>
      <c r="E42" s="117" t="s">
        <v>156</v>
      </c>
      <c r="F42" s="71" t="s">
        <v>220</v>
      </c>
      <c r="G42" s="106">
        <v>8.0</v>
      </c>
      <c r="H42" s="66"/>
      <c r="I42" s="6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69"/>
      <c r="B43" s="69"/>
      <c r="C43" s="69"/>
      <c r="D43" s="116" t="s">
        <v>221</v>
      </c>
      <c r="E43" s="69"/>
      <c r="F43" s="71" t="s">
        <v>220</v>
      </c>
      <c r="G43" s="106">
        <v>5.0</v>
      </c>
      <c r="H43" s="66"/>
      <c r="I43" s="6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69"/>
      <c r="B44" s="72"/>
      <c r="C44" s="72"/>
      <c r="D44" s="116" t="s">
        <v>222</v>
      </c>
      <c r="E44" s="72"/>
      <c r="F44" s="71" t="s">
        <v>220</v>
      </c>
      <c r="G44" s="113">
        <v>5.0</v>
      </c>
      <c r="H44" s="66">
        <f>SUM(G42:G44)</f>
        <v>18</v>
      </c>
      <c r="I44" s="67">
        <f>H44/8</f>
        <v>2.25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69"/>
      <c r="B45" s="85" t="s">
        <v>108</v>
      </c>
      <c r="C45" s="108" t="s">
        <v>109</v>
      </c>
      <c r="D45" s="63" t="s">
        <v>223</v>
      </c>
      <c r="E45" s="62" t="s">
        <v>157</v>
      </c>
      <c r="F45" s="71" t="s">
        <v>220</v>
      </c>
      <c r="G45" s="113">
        <v>8.0</v>
      </c>
      <c r="H45" s="66"/>
      <c r="I45" s="6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69"/>
      <c r="B46" s="72"/>
      <c r="C46" s="72"/>
      <c r="D46" s="63" t="s">
        <v>224</v>
      </c>
      <c r="E46" s="72"/>
      <c r="F46" s="71" t="s">
        <v>220</v>
      </c>
      <c r="G46" s="106">
        <v>3.0</v>
      </c>
      <c r="H46" s="66">
        <f>SUM(G45:G46)</f>
        <v>11</v>
      </c>
      <c r="I46" s="67">
        <f>H46/8</f>
        <v>1.375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69"/>
      <c r="B47" s="85" t="s">
        <v>111</v>
      </c>
      <c r="C47" s="118" t="s">
        <v>112</v>
      </c>
      <c r="D47" s="63" t="s">
        <v>225</v>
      </c>
      <c r="E47" s="62" t="s">
        <v>158</v>
      </c>
      <c r="F47" s="71" t="s">
        <v>220</v>
      </c>
      <c r="G47" s="113">
        <v>3.0</v>
      </c>
      <c r="H47" s="119"/>
      <c r="I47" s="6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69"/>
      <c r="B48" s="69"/>
      <c r="C48" s="120"/>
      <c r="D48" s="63" t="s">
        <v>226</v>
      </c>
      <c r="E48" s="69"/>
      <c r="F48" s="71" t="s">
        <v>220</v>
      </c>
      <c r="G48" s="113">
        <v>4.0</v>
      </c>
      <c r="H48" s="119"/>
      <c r="I48" s="6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69"/>
      <c r="B49" s="72"/>
      <c r="C49" s="121"/>
      <c r="D49" s="63" t="s">
        <v>227</v>
      </c>
      <c r="E49" s="72"/>
      <c r="F49" s="71" t="s">
        <v>220</v>
      </c>
      <c r="G49" s="113">
        <v>3.0</v>
      </c>
      <c r="H49" s="119">
        <f>SUM(G47:G49)</f>
        <v>10</v>
      </c>
      <c r="I49" s="67">
        <f>H49/8</f>
        <v>1.25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69"/>
      <c r="B50" s="122" t="s">
        <v>123</v>
      </c>
      <c r="C50" s="108" t="s">
        <v>124</v>
      </c>
      <c r="D50" s="89" t="s">
        <v>228</v>
      </c>
      <c r="E50" s="88" t="s">
        <v>159</v>
      </c>
      <c r="F50" s="71" t="s">
        <v>220</v>
      </c>
      <c r="G50" s="111">
        <v>3.0</v>
      </c>
      <c r="H50" s="123"/>
      <c r="I50" s="6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69"/>
      <c r="B51" s="72"/>
      <c r="C51" s="72"/>
      <c r="D51" s="89" t="s">
        <v>229</v>
      </c>
      <c r="E51" s="82"/>
      <c r="F51" s="71" t="s">
        <v>220</v>
      </c>
      <c r="G51" s="111">
        <v>2.0</v>
      </c>
      <c r="H51" s="123">
        <f>SUM(G50:G51)</f>
        <v>5</v>
      </c>
      <c r="I51" s="67">
        <f>H51/8</f>
        <v>0.625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69"/>
      <c r="B52" s="124" t="s">
        <v>126</v>
      </c>
      <c r="C52" s="108" t="s">
        <v>127</v>
      </c>
      <c r="D52" s="89" t="s">
        <v>230</v>
      </c>
      <c r="E52" s="102" t="s">
        <v>157</v>
      </c>
      <c r="F52" s="71" t="s">
        <v>220</v>
      </c>
      <c r="G52" s="111">
        <v>2.0</v>
      </c>
      <c r="H52" s="123"/>
      <c r="I52" s="6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72"/>
      <c r="B53" s="82"/>
      <c r="C53" s="72"/>
      <c r="D53" s="89" t="s">
        <v>231</v>
      </c>
      <c r="E53" s="72"/>
      <c r="F53" s="71" t="s">
        <v>220</v>
      </c>
      <c r="G53" s="111">
        <v>3.0</v>
      </c>
      <c r="H53" s="123">
        <f>SUM(G52:G53)</f>
        <v>5</v>
      </c>
      <c r="I53" s="67">
        <f>H53/8</f>
        <v>0.625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93" t="s">
        <v>189</v>
      </c>
      <c r="B54" s="94"/>
      <c r="C54" s="94"/>
      <c r="D54" s="94"/>
      <c r="E54" s="94"/>
      <c r="F54" s="94"/>
      <c r="G54" s="95"/>
      <c r="H54" s="96">
        <f t="shared" ref="H54:I54" si="4">SUM(H42:H53)</f>
        <v>49</v>
      </c>
      <c r="I54" s="97">
        <f t="shared" si="4"/>
        <v>6.125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25" t="s">
        <v>232</v>
      </c>
      <c r="B55" s="85" t="s">
        <v>233</v>
      </c>
      <c r="C55" s="62" t="s">
        <v>115</v>
      </c>
      <c r="D55" s="63" t="s">
        <v>234</v>
      </c>
      <c r="E55" s="88" t="s">
        <v>159</v>
      </c>
      <c r="F55" s="71" t="s">
        <v>220</v>
      </c>
      <c r="G55" s="65">
        <v>3.0</v>
      </c>
      <c r="H55" s="66"/>
      <c r="I55" s="67"/>
      <c r="J55" s="1"/>
      <c r="K55" s="1" t="str">
        <f t="shared" ref="K55:K56" si="5">"(" &amp; INT(I55/1) &amp; " días y " &amp; TEXT(MOD(I55,8),"0") &amp; " horas )"</f>
        <v>(0 días y 0 horas )</v>
      </c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69"/>
      <c r="B56" s="72"/>
      <c r="C56" s="72"/>
      <c r="D56" s="63" t="s">
        <v>235</v>
      </c>
      <c r="E56" s="82"/>
      <c r="F56" s="71" t="s">
        <v>220</v>
      </c>
      <c r="G56" s="65">
        <v>8.0</v>
      </c>
      <c r="H56" s="66">
        <f>SUM(G55:G56)</f>
        <v>11</v>
      </c>
      <c r="I56" s="67">
        <f>H56/8</f>
        <v>1.375</v>
      </c>
      <c r="K56" s="126" t="str">
        <f t="shared" si="5"/>
        <v>(1 días y 1 horas )</v>
      </c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69"/>
      <c r="B57" s="127" t="s">
        <v>117</v>
      </c>
      <c r="C57" s="108" t="s">
        <v>118</v>
      </c>
      <c r="D57" s="63" t="s">
        <v>236</v>
      </c>
      <c r="E57" s="101" t="s">
        <v>158</v>
      </c>
      <c r="F57" s="71" t="s">
        <v>220</v>
      </c>
      <c r="G57" s="75">
        <v>5.0</v>
      </c>
      <c r="H57" s="66"/>
      <c r="I57" s="6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69"/>
      <c r="B58" s="81"/>
      <c r="C58" s="72"/>
      <c r="D58" s="63" t="s">
        <v>237</v>
      </c>
      <c r="E58" s="72"/>
      <c r="F58" s="71" t="s">
        <v>220</v>
      </c>
      <c r="G58" s="75">
        <v>5.0</v>
      </c>
      <c r="H58" s="66">
        <f>SUM(G57:G58)</f>
        <v>10</v>
      </c>
      <c r="I58" s="67">
        <f>H58/8</f>
        <v>1.25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69"/>
      <c r="B59" s="128" t="s">
        <v>120</v>
      </c>
      <c r="C59" s="108" t="s">
        <v>121</v>
      </c>
      <c r="D59" s="63" t="s">
        <v>238</v>
      </c>
      <c r="E59" s="103" t="s">
        <v>157</v>
      </c>
      <c r="F59" s="71" t="s">
        <v>220</v>
      </c>
      <c r="G59" s="91">
        <v>13.0</v>
      </c>
      <c r="H59" s="129"/>
      <c r="I59" s="6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69"/>
      <c r="B60" s="81"/>
      <c r="C60" s="72"/>
      <c r="D60" s="63" t="s">
        <v>239</v>
      </c>
      <c r="E60" s="72"/>
      <c r="F60" s="71" t="s">
        <v>220</v>
      </c>
      <c r="G60" s="91">
        <v>8.0</v>
      </c>
      <c r="H60" s="129">
        <f>SUM(G59:G60)</f>
        <v>21</v>
      </c>
      <c r="I60" s="67">
        <f>H60/8</f>
        <v>2.625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69"/>
      <c r="B61" s="130" t="s">
        <v>240</v>
      </c>
      <c r="C61" s="131" t="s">
        <v>241</v>
      </c>
      <c r="D61" s="63" t="s">
        <v>242</v>
      </c>
      <c r="E61" s="103" t="s">
        <v>156</v>
      </c>
      <c r="F61" s="71" t="s">
        <v>220</v>
      </c>
      <c r="G61" s="91">
        <v>8.0</v>
      </c>
      <c r="H61" s="129"/>
      <c r="I61" s="6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72"/>
      <c r="B62" s="76"/>
      <c r="C62" s="132"/>
      <c r="D62" s="63" t="s">
        <v>243</v>
      </c>
      <c r="E62" s="69"/>
      <c r="F62" s="71" t="s">
        <v>220</v>
      </c>
      <c r="G62" s="91">
        <v>8.0</v>
      </c>
      <c r="H62" s="129"/>
      <c r="I62" s="6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33"/>
      <c r="B63" s="81"/>
      <c r="C63" s="134"/>
      <c r="D63" s="63" t="s">
        <v>244</v>
      </c>
      <c r="E63" s="72"/>
      <c r="F63" s="71" t="s">
        <v>220</v>
      </c>
      <c r="G63" s="91">
        <v>3.0</v>
      </c>
      <c r="H63" s="129">
        <f>SUM(G61:G63)</f>
        <v>19</v>
      </c>
      <c r="I63" s="67">
        <f>H63/8</f>
        <v>2.375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93" t="s">
        <v>189</v>
      </c>
      <c r="B64" s="94"/>
      <c r="C64" s="94"/>
      <c r="D64" s="94"/>
      <c r="E64" s="94"/>
      <c r="F64" s="94"/>
      <c r="G64" s="95"/>
      <c r="H64" s="96">
        <f t="shared" ref="H64:I64" si="6">SUM(H55:H63)</f>
        <v>61</v>
      </c>
      <c r="I64" s="97">
        <f t="shared" si="6"/>
        <v>7.625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25" t="s">
        <v>245</v>
      </c>
      <c r="B65" s="85" t="s">
        <v>246</v>
      </c>
      <c r="C65" s="135" t="s">
        <v>247</v>
      </c>
      <c r="D65" s="136" t="s">
        <v>248</v>
      </c>
      <c r="E65" s="62" t="s">
        <v>157</v>
      </c>
      <c r="F65" s="71" t="s">
        <v>151</v>
      </c>
      <c r="G65" s="113">
        <v>5.0</v>
      </c>
      <c r="H65" s="106"/>
      <c r="I65" s="107"/>
      <c r="J65" s="1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50.25" customHeight="1">
      <c r="A66" s="69"/>
      <c r="B66" s="72"/>
      <c r="C66" s="72"/>
      <c r="D66" s="71" t="s">
        <v>249</v>
      </c>
      <c r="E66" s="72"/>
      <c r="F66" s="71" t="s">
        <v>151</v>
      </c>
      <c r="G66" s="113">
        <v>8.0</v>
      </c>
      <c r="H66" s="106">
        <f>SUM(G65:G66)</f>
        <v>13</v>
      </c>
      <c r="I66" s="67">
        <f>H66/8</f>
        <v>1.625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69"/>
      <c r="B67" s="85" t="s">
        <v>102</v>
      </c>
      <c r="C67" s="112" t="s">
        <v>103</v>
      </c>
      <c r="D67" s="71" t="s">
        <v>250</v>
      </c>
      <c r="E67" s="88" t="s">
        <v>159</v>
      </c>
      <c r="F67" s="71" t="s">
        <v>151</v>
      </c>
      <c r="G67" s="110">
        <v>3.0</v>
      </c>
      <c r="H67" s="106"/>
      <c r="I67" s="107"/>
      <c r="J67" s="1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24.0" customHeight="1">
      <c r="A68" s="69"/>
      <c r="B68" s="72"/>
      <c r="C68" s="72"/>
      <c r="D68" s="71" t="s">
        <v>251</v>
      </c>
      <c r="E68" s="82"/>
      <c r="F68" s="71" t="s">
        <v>151</v>
      </c>
      <c r="G68" s="110">
        <v>5.0</v>
      </c>
      <c r="H68" s="106">
        <f>SUM(G67:G68)</f>
        <v>8</v>
      </c>
      <c r="I68" s="67">
        <f>H68/8</f>
        <v>1</v>
      </c>
      <c r="J68" s="1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69"/>
      <c r="B69" s="137" t="s">
        <v>141</v>
      </c>
      <c r="C69" s="112" t="s">
        <v>142</v>
      </c>
      <c r="D69" s="71" t="s">
        <v>252</v>
      </c>
      <c r="E69" s="102" t="s">
        <v>156</v>
      </c>
      <c r="F69" s="71" t="s">
        <v>151</v>
      </c>
      <c r="G69" s="111">
        <v>8.0</v>
      </c>
      <c r="H69" s="106"/>
      <c r="I69" s="107"/>
      <c r="J69" s="1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69"/>
      <c r="B70" s="69"/>
      <c r="C70" s="69"/>
      <c r="D70" s="71" t="s">
        <v>253</v>
      </c>
      <c r="E70" s="69"/>
      <c r="F70" s="71" t="s">
        <v>151</v>
      </c>
      <c r="G70" s="111">
        <v>8.0</v>
      </c>
      <c r="H70" s="106"/>
      <c r="I70" s="107"/>
      <c r="J70" s="1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69"/>
      <c r="B71" s="72"/>
      <c r="C71" s="72"/>
      <c r="D71" s="71" t="s">
        <v>254</v>
      </c>
      <c r="E71" s="72"/>
      <c r="F71" s="71" t="s">
        <v>151</v>
      </c>
      <c r="G71" s="111">
        <v>13.0</v>
      </c>
      <c r="H71" s="106">
        <f>SUM(G69:G71)</f>
        <v>29</v>
      </c>
      <c r="I71" s="67">
        <f>H71/8</f>
        <v>3.625</v>
      </c>
      <c r="J71" s="1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28.5" customHeight="1">
      <c r="A72" s="69"/>
      <c r="B72" s="137" t="s">
        <v>135</v>
      </c>
      <c r="C72" s="112" t="s">
        <v>136</v>
      </c>
      <c r="D72" s="71" t="s">
        <v>255</v>
      </c>
      <c r="E72" s="138" t="s">
        <v>158</v>
      </c>
      <c r="F72" s="71" t="s">
        <v>151</v>
      </c>
      <c r="G72" s="139">
        <v>8.0</v>
      </c>
      <c r="H72" s="140"/>
      <c r="I72" s="14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27.0" customHeight="1">
      <c r="A73" s="69"/>
      <c r="B73" s="72"/>
      <c r="C73" s="72"/>
      <c r="D73" s="71" t="s">
        <v>256</v>
      </c>
      <c r="E73" s="72"/>
      <c r="F73" s="71" t="s">
        <v>151</v>
      </c>
      <c r="G73" s="139">
        <v>5.0</v>
      </c>
      <c r="H73" s="141">
        <f>SUM(G72:G73)</f>
        <v>13</v>
      </c>
      <c r="I73" s="67">
        <f>H73/8</f>
        <v>1.625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69"/>
      <c r="B74" s="122" t="s">
        <v>257</v>
      </c>
      <c r="C74" s="135" t="s">
        <v>258</v>
      </c>
      <c r="D74" s="71" t="s">
        <v>259</v>
      </c>
      <c r="E74" s="102" t="s">
        <v>156</v>
      </c>
      <c r="F74" s="71" t="s">
        <v>151</v>
      </c>
      <c r="G74" s="111">
        <v>12.0</v>
      </c>
      <c r="H74" s="106"/>
      <c r="I74" s="107"/>
      <c r="J74" s="1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50.25" customHeight="1">
      <c r="A75" s="72"/>
      <c r="B75" s="72"/>
      <c r="C75" s="72"/>
      <c r="D75" s="71" t="s">
        <v>260</v>
      </c>
      <c r="E75" s="72"/>
      <c r="F75" s="71" t="s">
        <v>151</v>
      </c>
      <c r="G75" s="111">
        <v>5.0</v>
      </c>
      <c r="H75" s="106">
        <f>SUM(G74:G75)</f>
        <v>17</v>
      </c>
      <c r="I75" s="67">
        <f>H75/8</f>
        <v>2.125</v>
      </c>
      <c r="J75" s="12"/>
      <c r="K75" s="1"/>
      <c r="L75" s="142" t="s">
        <v>261</v>
      </c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93" t="s">
        <v>189</v>
      </c>
      <c r="B76" s="94"/>
      <c r="C76" s="94"/>
      <c r="D76" s="94"/>
      <c r="E76" s="94"/>
      <c r="F76" s="94"/>
      <c r="G76" s="95"/>
      <c r="H76" s="96">
        <f t="shared" ref="H76:I76" si="7">SUM(H65:H75)</f>
        <v>80</v>
      </c>
      <c r="I76" s="97">
        <f t="shared" si="7"/>
        <v>10</v>
      </c>
      <c r="J76" s="143"/>
      <c r="K76" s="143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44"/>
      <c r="C77" s="1"/>
      <c r="D77" s="145"/>
      <c r="E77" s="1"/>
      <c r="F77" s="1"/>
      <c r="G77" s="1"/>
      <c r="H77" s="143">
        <f>SUM(H76,H54,H64,H41,H30,H15)</f>
        <v>373</v>
      </c>
      <c r="I77" s="143">
        <f>SUM(I76,I64,I54,I41,I30,I15)</f>
        <v>46.625</v>
      </c>
      <c r="J77" s="142"/>
      <c r="K77" s="142" t="str">
        <f>"(" &amp; INT(I77/1) &amp; " días y " &amp; TEXT(MOD(I77,8),"0") &amp; " horas )"</f>
        <v>(46 días y 7 horas )</v>
      </c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44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44"/>
      <c r="C79" s="1"/>
      <c r="D79" s="146"/>
      <c r="E79" s="1"/>
      <c r="F79" s="1"/>
      <c r="G79" s="1"/>
      <c r="H79" s="1"/>
      <c r="I79" s="14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4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44"/>
      <c r="C81" s="1"/>
      <c r="D81" s="1"/>
      <c r="E81" s="1"/>
      <c r="F81" s="1"/>
      <c r="G81" s="1"/>
      <c r="H81" s="14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4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4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4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4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4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4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4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4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4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4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4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4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4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4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4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4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4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4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4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4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4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4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4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4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4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4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4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4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4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4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4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4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4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4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4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4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4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4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4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4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4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4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4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4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B126" s="147"/>
      <c r="D126" s="1"/>
    </row>
    <row r="127" ht="15.75" customHeight="1">
      <c r="B127" s="147"/>
      <c r="D127" s="1"/>
    </row>
    <row r="128" ht="15.75" customHeight="1">
      <c r="B128" s="147"/>
    </row>
    <row r="129" ht="15.75" customHeight="1">
      <c r="B129" s="147"/>
    </row>
    <row r="130" ht="15.75" customHeight="1">
      <c r="B130" s="147"/>
    </row>
    <row r="131" ht="15.75" customHeight="1">
      <c r="B131" s="147"/>
    </row>
    <row r="132" ht="15.75" customHeight="1">
      <c r="B132" s="147"/>
    </row>
    <row r="133" ht="15.75" customHeight="1">
      <c r="B133" s="147"/>
    </row>
    <row r="134" ht="15.75" customHeight="1">
      <c r="B134" s="147"/>
    </row>
    <row r="135" ht="15.75" customHeight="1">
      <c r="B135" s="147"/>
    </row>
    <row r="136" ht="15.75" customHeight="1">
      <c r="B136" s="147"/>
    </row>
    <row r="137" ht="15.75" customHeight="1">
      <c r="B137" s="147"/>
    </row>
    <row r="138" ht="15.75" customHeight="1">
      <c r="B138" s="147"/>
    </row>
    <row r="139" ht="15.75" customHeight="1">
      <c r="B139" s="147"/>
    </row>
    <row r="140" ht="15.75" customHeight="1">
      <c r="B140" s="147"/>
    </row>
    <row r="141" ht="15.75" customHeight="1">
      <c r="B141" s="147"/>
    </row>
    <row r="142" ht="15.75" customHeight="1">
      <c r="B142" s="147"/>
    </row>
    <row r="143" ht="15.75" customHeight="1">
      <c r="B143" s="147"/>
    </row>
    <row r="144" ht="15.75" customHeight="1">
      <c r="B144" s="147"/>
    </row>
    <row r="145" ht="15.75" customHeight="1">
      <c r="B145" s="147"/>
    </row>
    <row r="146" ht="15.75" customHeight="1">
      <c r="B146" s="147"/>
    </row>
    <row r="147" ht="15.75" customHeight="1">
      <c r="B147" s="147"/>
    </row>
    <row r="148" ht="15.75" customHeight="1">
      <c r="B148" s="147"/>
    </row>
    <row r="149" ht="15.75" customHeight="1">
      <c r="B149" s="147"/>
    </row>
    <row r="150" ht="15.75" customHeight="1">
      <c r="B150" s="147"/>
    </row>
    <row r="151" ht="15.75" customHeight="1">
      <c r="B151" s="147"/>
    </row>
    <row r="152" ht="15.75" customHeight="1">
      <c r="B152" s="147"/>
    </row>
    <row r="153" ht="15.75" customHeight="1">
      <c r="B153" s="147"/>
    </row>
    <row r="154" ht="15.75" customHeight="1">
      <c r="B154" s="147"/>
    </row>
    <row r="155" ht="15.75" customHeight="1">
      <c r="B155" s="147"/>
    </row>
    <row r="156" ht="15.75" customHeight="1">
      <c r="B156" s="147"/>
    </row>
    <row r="157" ht="15.75" customHeight="1">
      <c r="B157" s="147"/>
    </row>
    <row r="158" ht="15.75" customHeight="1">
      <c r="B158" s="147"/>
    </row>
    <row r="159" ht="15.75" customHeight="1">
      <c r="B159" s="147"/>
    </row>
    <row r="160" ht="15.75" customHeight="1">
      <c r="B160" s="147"/>
    </row>
    <row r="161" ht="15.75" customHeight="1">
      <c r="B161" s="147"/>
    </row>
    <row r="162" ht="15.75" customHeight="1">
      <c r="B162" s="147"/>
    </row>
    <row r="163" ht="15.75" customHeight="1">
      <c r="B163" s="147"/>
    </row>
    <row r="164" ht="15.75" customHeight="1">
      <c r="B164" s="147"/>
    </row>
    <row r="165" ht="15.75" customHeight="1">
      <c r="B165" s="147"/>
    </row>
    <row r="166" ht="15.75" customHeight="1">
      <c r="B166" s="147"/>
    </row>
    <row r="167" ht="15.75" customHeight="1">
      <c r="B167" s="147"/>
    </row>
    <row r="168" ht="15.75" customHeight="1">
      <c r="B168" s="147"/>
    </row>
    <row r="169" ht="15.75" customHeight="1">
      <c r="B169" s="147"/>
    </row>
    <row r="170" ht="15.75" customHeight="1">
      <c r="B170" s="147"/>
    </row>
    <row r="171" ht="15.75" customHeight="1">
      <c r="B171" s="147"/>
    </row>
    <row r="172" ht="15.75" customHeight="1">
      <c r="B172" s="147"/>
    </row>
    <row r="173" ht="15.75" customHeight="1">
      <c r="B173" s="147"/>
    </row>
    <row r="174" ht="15.75" customHeight="1">
      <c r="B174" s="147"/>
    </row>
    <row r="175" ht="15.75" customHeight="1">
      <c r="B175" s="147"/>
    </row>
    <row r="176" ht="15.75" customHeight="1">
      <c r="B176" s="147"/>
    </row>
    <row r="177" ht="15.75" customHeight="1">
      <c r="B177" s="147"/>
    </row>
    <row r="178" ht="15.75" customHeight="1">
      <c r="B178" s="147"/>
    </row>
    <row r="179" ht="15.75" customHeight="1">
      <c r="B179" s="147"/>
    </row>
    <row r="180" ht="15.75" customHeight="1">
      <c r="B180" s="147"/>
    </row>
    <row r="181" ht="15.75" customHeight="1">
      <c r="B181" s="147"/>
    </row>
    <row r="182" ht="15.75" customHeight="1">
      <c r="B182" s="147"/>
    </row>
    <row r="183" ht="15.75" customHeight="1">
      <c r="B183" s="147"/>
    </row>
    <row r="184" ht="15.75" customHeight="1">
      <c r="B184" s="147"/>
    </row>
    <row r="185" ht="15.75" customHeight="1">
      <c r="B185" s="147"/>
    </row>
    <row r="186" ht="15.75" customHeight="1">
      <c r="B186" s="147"/>
    </row>
    <row r="187" ht="15.75" customHeight="1">
      <c r="B187" s="147"/>
    </row>
    <row r="188" ht="15.75" customHeight="1">
      <c r="B188" s="147"/>
    </row>
    <row r="189" ht="15.75" customHeight="1">
      <c r="B189" s="147"/>
    </row>
    <row r="190" ht="15.75" customHeight="1">
      <c r="B190" s="147"/>
    </row>
    <row r="191" ht="15.75" customHeight="1">
      <c r="B191" s="147"/>
    </row>
    <row r="192" ht="15.75" customHeight="1">
      <c r="B192" s="147"/>
    </row>
    <row r="193" ht="15.75" customHeight="1">
      <c r="B193" s="147"/>
    </row>
    <row r="194" ht="15.75" customHeight="1">
      <c r="B194" s="147"/>
    </row>
    <row r="195" ht="15.75" customHeight="1">
      <c r="B195" s="147"/>
    </row>
    <row r="196" ht="15.75" customHeight="1">
      <c r="B196" s="147"/>
    </row>
    <row r="197" ht="15.75" customHeight="1">
      <c r="B197" s="147"/>
    </row>
    <row r="198" ht="15.75" customHeight="1">
      <c r="B198" s="147"/>
    </row>
    <row r="199" ht="15.75" customHeight="1">
      <c r="B199" s="147"/>
    </row>
    <row r="200" ht="15.75" customHeight="1">
      <c r="B200" s="147"/>
    </row>
    <row r="201" ht="15.75" customHeight="1">
      <c r="B201" s="147"/>
    </row>
    <row r="202" ht="15.75" customHeight="1">
      <c r="B202" s="147"/>
    </row>
    <row r="203" ht="15.75" customHeight="1">
      <c r="B203" s="147"/>
    </row>
    <row r="204" ht="15.75" customHeight="1">
      <c r="B204" s="147"/>
    </row>
    <row r="205" ht="15.75" customHeight="1">
      <c r="B205" s="147"/>
    </row>
    <row r="206" ht="15.75" customHeight="1">
      <c r="B206" s="147"/>
    </row>
    <row r="207" ht="15.75" customHeight="1">
      <c r="B207" s="147"/>
    </row>
    <row r="208" ht="15.75" customHeight="1">
      <c r="B208" s="147"/>
    </row>
    <row r="209" ht="15.75" customHeight="1">
      <c r="B209" s="147"/>
    </row>
    <row r="210" ht="15.75" customHeight="1">
      <c r="B210" s="147"/>
    </row>
    <row r="211" ht="15.75" customHeight="1">
      <c r="B211" s="147"/>
    </row>
    <row r="212" ht="15.75" customHeight="1">
      <c r="B212" s="147"/>
    </row>
    <row r="213" ht="15.75" customHeight="1">
      <c r="B213" s="147"/>
    </row>
    <row r="214" ht="15.75" customHeight="1">
      <c r="B214" s="147"/>
    </row>
    <row r="215" ht="15.75" customHeight="1">
      <c r="B215" s="147"/>
    </row>
    <row r="216" ht="15.75" customHeight="1">
      <c r="B216" s="147"/>
    </row>
    <row r="217" ht="15.75" customHeight="1">
      <c r="B217" s="147"/>
    </row>
    <row r="218" ht="15.75" customHeight="1">
      <c r="B218" s="147"/>
    </row>
    <row r="219" ht="15.75" customHeight="1">
      <c r="B219" s="147"/>
    </row>
    <row r="220" ht="15.75" customHeight="1">
      <c r="B220" s="147"/>
    </row>
    <row r="221" ht="15.75" customHeight="1">
      <c r="B221" s="147"/>
    </row>
    <row r="222" ht="15.75" customHeight="1">
      <c r="B222" s="147"/>
    </row>
    <row r="223" ht="15.75" customHeight="1">
      <c r="B223" s="147"/>
    </row>
    <row r="224" ht="15.75" customHeight="1">
      <c r="B224" s="147"/>
    </row>
    <row r="225" ht="15.75" customHeight="1">
      <c r="B225" s="147"/>
    </row>
    <row r="226" ht="15.75" customHeight="1">
      <c r="B226" s="147"/>
    </row>
    <row r="227" ht="15.75" customHeight="1">
      <c r="B227" s="147"/>
    </row>
    <row r="228" ht="15.75" customHeight="1">
      <c r="B228" s="147"/>
    </row>
    <row r="229" ht="15.75" customHeight="1">
      <c r="B229" s="147"/>
    </row>
    <row r="230" ht="15.75" customHeight="1">
      <c r="B230" s="147"/>
    </row>
    <row r="231" ht="15.75" customHeight="1">
      <c r="B231" s="147"/>
    </row>
    <row r="232" ht="15.75" customHeight="1">
      <c r="B232" s="147"/>
    </row>
    <row r="233" ht="15.75" customHeight="1">
      <c r="B233" s="147"/>
    </row>
    <row r="234" ht="15.75" customHeight="1">
      <c r="B234" s="147"/>
    </row>
    <row r="235" ht="15.75" customHeight="1">
      <c r="B235" s="147"/>
    </row>
    <row r="236" ht="15.75" customHeight="1">
      <c r="B236" s="147"/>
    </row>
    <row r="237" ht="15.75" customHeight="1">
      <c r="B237" s="147"/>
    </row>
    <row r="238" ht="15.75" customHeight="1">
      <c r="B238" s="147"/>
    </row>
    <row r="239" ht="15.75" customHeight="1">
      <c r="B239" s="147"/>
    </row>
    <row r="240" ht="15.75" customHeight="1">
      <c r="B240" s="147"/>
    </row>
    <row r="241" ht="15.75" customHeight="1">
      <c r="B241" s="147"/>
    </row>
    <row r="242" ht="15.75" customHeight="1">
      <c r="B242" s="147"/>
    </row>
    <row r="243" ht="15.75" customHeight="1">
      <c r="B243" s="147"/>
    </row>
    <row r="244" ht="15.75" customHeight="1">
      <c r="B244" s="147"/>
    </row>
    <row r="245" ht="15.75" customHeight="1">
      <c r="B245" s="147"/>
    </row>
    <row r="246" ht="15.75" customHeight="1">
      <c r="B246" s="147"/>
    </row>
    <row r="247" ht="15.75" customHeight="1">
      <c r="B247" s="147"/>
    </row>
    <row r="248" ht="15.75" customHeight="1">
      <c r="B248" s="147"/>
    </row>
    <row r="249" ht="15.75" customHeight="1">
      <c r="B249" s="147"/>
    </row>
    <row r="250" ht="15.75" customHeight="1">
      <c r="B250" s="147"/>
    </row>
    <row r="251" ht="15.75" customHeight="1">
      <c r="B251" s="147"/>
    </row>
    <row r="252" ht="15.75" customHeight="1">
      <c r="B252" s="147"/>
    </row>
    <row r="253" ht="15.75" customHeight="1">
      <c r="B253" s="147"/>
    </row>
    <row r="254" ht="15.75" customHeight="1">
      <c r="B254" s="147"/>
    </row>
    <row r="255" ht="15.75" customHeight="1">
      <c r="B255" s="147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94">
    <mergeCell ref="E31:E33"/>
    <mergeCell ref="E34:E36"/>
    <mergeCell ref="E55:E56"/>
    <mergeCell ref="E57:E58"/>
    <mergeCell ref="E59:E60"/>
    <mergeCell ref="E61:E63"/>
    <mergeCell ref="E6:E8"/>
    <mergeCell ref="E9:E11"/>
    <mergeCell ref="E16:E18"/>
    <mergeCell ref="E19:E21"/>
    <mergeCell ref="E22:E24"/>
    <mergeCell ref="E25:E27"/>
    <mergeCell ref="E28:E29"/>
    <mergeCell ref="B31:B33"/>
    <mergeCell ref="B34:B36"/>
    <mergeCell ref="B37:B38"/>
    <mergeCell ref="B39:B40"/>
    <mergeCell ref="B42:B44"/>
    <mergeCell ref="C42:C44"/>
    <mergeCell ref="C45:C46"/>
    <mergeCell ref="B57:B58"/>
    <mergeCell ref="B59:B60"/>
    <mergeCell ref="A64:G64"/>
    <mergeCell ref="B55:B56"/>
    <mergeCell ref="B61:B63"/>
    <mergeCell ref="A65:A75"/>
    <mergeCell ref="B65:B66"/>
    <mergeCell ref="B67:B68"/>
    <mergeCell ref="B69:B71"/>
    <mergeCell ref="B72:B73"/>
    <mergeCell ref="B74:B75"/>
    <mergeCell ref="B45:B46"/>
    <mergeCell ref="B47:B49"/>
    <mergeCell ref="C47:C49"/>
    <mergeCell ref="A55:A62"/>
    <mergeCell ref="C55:C56"/>
    <mergeCell ref="C57:C58"/>
    <mergeCell ref="C59:C60"/>
    <mergeCell ref="E69:E71"/>
    <mergeCell ref="E72:E73"/>
    <mergeCell ref="C74:C75"/>
    <mergeCell ref="E74:E75"/>
    <mergeCell ref="A76:G76"/>
    <mergeCell ref="C61:C63"/>
    <mergeCell ref="C65:C66"/>
    <mergeCell ref="E65:E66"/>
    <mergeCell ref="C67:C68"/>
    <mergeCell ref="E67:E68"/>
    <mergeCell ref="C69:C71"/>
    <mergeCell ref="C72:C73"/>
    <mergeCell ref="E12:E14"/>
    <mergeCell ref="A15:G15"/>
    <mergeCell ref="A2:A14"/>
    <mergeCell ref="B2:B5"/>
    <mergeCell ref="C2:C5"/>
    <mergeCell ref="E2:E5"/>
    <mergeCell ref="C6:C8"/>
    <mergeCell ref="L7:O15"/>
    <mergeCell ref="C9:C11"/>
    <mergeCell ref="A16:A29"/>
    <mergeCell ref="A31:A40"/>
    <mergeCell ref="A42:A53"/>
    <mergeCell ref="B12:B14"/>
    <mergeCell ref="C12:C14"/>
    <mergeCell ref="C16:C18"/>
    <mergeCell ref="C19:C21"/>
    <mergeCell ref="C22:C24"/>
    <mergeCell ref="C25:C27"/>
    <mergeCell ref="A30:G30"/>
    <mergeCell ref="E39:E40"/>
    <mergeCell ref="E42:E44"/>
    <mergeCell ref="E45:E46"/>
    <mergeCell ref="E47:E49"/>
    <mergeCell ref="C50:C51"/>
    <mergeCell ref="E50:E51"/>
    <mergeCell ref="E52:E53"/>
    <mergeCell ref="C28:C29"/>
    <mergeCell ref="C31:C33"/>
    <mergeCell ref="C34:C36"/>
    <mergeCell ref="C37:C38"/>
    <mergeCell ref="E37:E38"/>
    <mergeCell ref="C39:C40"/>
    <mergeCell ref="A41:G41"/>
    <mergeCell ref="B50:B51"/>
    <mergeCell ref="B52:B53"/>
    <mergeCell ref="C52:C53"/>
    <mergeCell ref="A54:G54"/>
    <mergeCell ref="B6:B8"/>
    <mergeCell ref="B9:B11"/>
    <mergeCell ref="B16:B18"/>
    <mergeCell ref="B19:B21"/>
    <mergeCell ref="B22:B24"/>
    <mergeCell ref="B25:B27"/>
    <mergeCell ref="B28:B29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12.0"/>
    <col customWidth="1" min="3" max="3" width="10.22"/>
    <col customWidth="1" min="4" max="4" width="15.44"/>
    <col customWidth="1" min="5" max="6" width="11.22"/>
    <col customWidth="1" min="10" max="10" width="14.4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262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48" t="s">
        <v>263</v>
      </c>
      <c r="B6" s="148" t="s">
        <v>36</v>
      </c>
      <c r="C6" s="148" t="s">
        <v>37</v>
      </c>
      <c r="D6" s="148" t="s">
        <v>264</v>
      </c>
      <c r="E6" s="148" t="s">
        <v>265</v>
      </c>
      <c r="F6" s="148" t="s">
        <v>266</v>
      </c>
      <c r="G6" s="148" t="s">
        <v>267</v>
      </c>
      <c r="H6" s="148" t="s">
        <v>268</v>
      </c>
      <c r="I6" s="148" t="s">
        <v>269</v>
      </c>
      <c r="J6" s="149" t="s">
        <v>270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0" t="s">
        <v>271</v>
      </c>
      <c r="B7" s="151"/>
      <c r="C7" s="151"/>
      <c r="D7" s="152"/>
      <c r="E7" s="152"/>
      <c r="F7" s="152"/>
      <c r="G7" s="152"/>
      <c r="H7" s="152"/>
      <c r="I7" s="152"/>
      <c r="J7" s="15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3" t="s">
        <v>272</v>
      </c>
      <c r="B8" s="153" t="s">
        <v>273</v>
      </c>
      <c r="C8" s="153" t="s">
        <v>274</v>
      </c>
      <c r="D8" s="154">
        <v>6.0</v>
      </c>
      <c r="E8" s="155">
        <v>5.0</v>
      </c>
      <c r="F8" s="155">
        <v>3.0</v>
      </c>
      <c r="G8" s="155">
        <v>0.0</v>
      </c>
      <c r="H8" s="155">
        <v>0.0</v>
      </c>
      <c r="I8" s="155">
        <v>0.0</v>
      </c>
      <c r="J8" s="155">
        <v>0.0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53" t="s">
        <v>275</v>
      </c>
      <c r="B9" s="153" t="s">
        <v>276</v>
      </c>
      <c r="C9" s="153" t="s">
        <v>274</v>
      </c>
      <c r="D9" s="154">
        <v>1.0</v>
      </c>
      <c r="E9" s="155">
        <v>1.0</v>
      </c>
      <c r="F9" s="155">
        <v>1.0</v>
      </c>
      <c r="G9" s="155">
        <v>5.0</v>
      </c>
      <c r="H9" s="155">
        <v>0.0</v>
      </c>
      <c r="I9" s="155">
        <v>1.0</v>
      </c>
      <c r="J9" s="155">
        <v>0.0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3" t="s">
        <v>277</v>
      </c>
      <c r="B10" s="153" t="s">
        <v>276</v>
      </c>
      <c r="C10" s="153" t="s">
        <v>274</v>
      </c>
      <c r="D10" s="154">
        <v>2.0</v>
      </c>
      <c r="E10" s="155">
        <v>0.5</v>
      </c>
      <c r="F10" s="155">
        <v>0.0</v>
      </c>
      <c r="G10" s="155">
        <v>3.0</v>
      </c>
      <c r="H10" s="155">
        <v>0.0</v>
      </c>
      <c r="I10" s="155">
        <v>0.0</v>
      </c>
      <c r="J10" s="155">
        <v>0.0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3" t="s">
        <v>278</v>
      </c>
      <c r="B11" s="153" t="s">
        <v>276</v>
      </c>
      <c r="C11" s="153" t="s">
        <v>274</v>
      </c>
      <c r="D11" s="154">
        <v>1.0</v>
      </c>
      <c r="E11" s="155">
        <v>1.0</v>
      </c>
      <c r="F11" s="155">
        <v>2.0</v>
      </c>
      <c r="G11" s="155">
        <v>3.0</v>
      </c>
      <c r="H11" s="155">
        <v>1.0</v>
      </c>
      <c r="I11" s="155">
        <v>0.0</v>
      </c>
      <c r="J11" s="155">
        <v>0.0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6" t="s">
        <v>279</v>
      </c>
      <c r="B12" s="157"/>
      <c r="C12" s="157"/>
      <c r="D12" s="158"/>
      <c r="E12" s="158"/>
      <c r="F12" s="158"/>
      <c r="G12" s="158"/>
      <c r="H12" s="158"/>
      <c r="I12" s="158"/>
      <c r="J12" s="15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3" t="s">
        <v>280</v>
      </c>
      <c r="B13" s="153" t="s">
        <v>276</v>
      </c>
      <c r="C13" s="153" t="s">
        <v>274</v>
      </c>
      <c r="D13" s="159">
        <v>5.0</v>
      </c>
      <c r="E13" s="155">
        <v>3.0</v>
      </c>
      <c r="F13" s="155">
        <v>0.5</v>
      </c>
      <c r="G13" s="155">
        <v>0.5</v>
      </c>
      <c r="H13" s="155">
        <v>0.0</v>
      </c>
      <c r="I13" s="155">
        <v>0.0</v>
      </c>
      <c r="J13" s="155">
        <v>2.0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3" t="s">
        <v>281</v>
      </c>
      <c r="B14" s="153" t="s">
        <v>276</v>
      </c>
      <c r="C14" s="153" t="s">
        <v>274</v>
      </c>
      <c r="D14" s="159">
        <v>6.0</v>
      </c>
      <c r="E14" s="155">
        <v>5.0</v>
      </c>
      <c r="F14" s="155">
        <v>5.0</v>
      </c>
      <c r="G14" s="155">
        <v>1.0</v>
      </c>
      <c r="H14" s="155">
        <v>1.0</v>
      </c>
      <c r="I14" s="155">
        <v>1.0</v>
      </c>
      <c r="J14" s="155">
        <v>0.0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53" t="s">
        <v>282</v>
      </c>
      <c r="B15" s="153" t="s">
        <v>276</v>
      </c>
      <c r="C15" s="153" t="s">
        <v>283</v>
      </c>
      <c r="D15" s="159">
        <v>4.0</v>
      </c>
      <c r="E15" s="155">
        <v>2.0</v>
      </c>
      <c r="F15" s="155">
        <v>5.0</v>
      </c>
      <c r="G15" s="155">
        <v>0.0</v>
      </c>
      <c r="H15" s="155">
        <v>1.0</v>
      </c>
      <c r="I15" s="155">
        <v>0.0</v>
      </c>
      <c r="J15" s="155">
        <v>1.0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3" t="s">
        <v>284</v>
      </c>
      <c r="B16" s="153" t="s">
        <v>276</v>
      </c>
      <c r="C16" s="153" t="s">
        <v>274</v>
      </c>
      <c r="D16" s="159">
        <v>6.0</v>
      </c>
      <c r="E16" s="155">
        <v>5.0</v>
      </c>
      <c r="F16" s="155">
        <v>9.0</v>
      </c>
      <c r="G16" s="155">
        <v>5.0</v>
      </c>
      <c r="H16" s="155">
        <v>1.0</v>
      </c>
      <c r="I16" s="155">
        <v>0.0</v>
      </c>
      <c r="J16" s="155">
        <v>1.0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6" t="s">
        <v>285</v>
      </c>
      <c r="B17" s="157"/>
      <c r="C17" s="157"/>
      <c r="D17" s="158"/>
      <c r="E17" s="158"/>
      <c r="F17" s="158"/>
      <c r="G17" s="158"/>
      <c r="H17" s="158"/>
      <c r="I17" s="158"/>
      <c r="J17" s="15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0" t="s">
        <v>286</v>
      </c>
      <c r="B18" s="161" t="s">
        <v>287</v>
      </c>
      <c r="C18" s="162"/>
      <c r="D18" s="155">
        <v>8.0</v>
      </c>
      <c r="E18" s="155">
        <v>6.0</v>
      </c>
      <c r="F18" s="155">
        <v>0.0</v>
      </c>
      <c r="G18" s="155">
        <v>0.0</v>
      </c>
      <c r="H18" s="155">
        <v>0.0</v>
      </c>
      <c r="I18" s="155">
        <v>0.0</v>
      </c>
      <c r="J18" s="155">
        <v>0.0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50" t="s">
        <v>288</v>
      </c>
      <c r="B19" s="151"/>
      <c r="C19" s="151"/>
      <c r="D19" s="152"/>
      <c r="E19" s="152"/>
      <c r="F19" s="152"/>
      <c r="G19" s="152"/>
      <c r="H19" s="152"/>
      <c r="I19" s="152"/>
      <c r="J19" s="15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0" t="s">
        <v>289</v>
      </c>
      <c r="B20" s="162" t="s">
        <v>276</v>
      </c>
      <c r="C20" s="162"/>
      <c r="D20" s="155">
        <v>9.0</v>
      </c>
      <c r="E20" s="155">
        <v>4.0</v>
      </c>
      <c r="F20" s="155">
        <v>2.0</v>
      </c>
      <c r="G20" s="155">
        <v>2.0</v>
      </c>
      <c r="H20" s="155">
        <v>1.0</v>
      </c>
      <c r="I20" s="155">
        <v>1.0</v>
      </c>
      <c r="J20" s="155">
        <v>0.0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0" t="s">
        <v>290</v>
      </c>
      <c r="B21" s="151"/>
      <c r="C21" s="151"/>
      <c r="D21" s="152"/>
      <c r="E21" s="152"/>
      <c r="F21" s="152"/>
      <c r="G21" s="152"/>
      <c r="H21" s="152"/>
      <c r="I21" s="152"/>
      <c r="J21" s="15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62" t="s">
        <v>291</v>
      </c>
      <c r="B22" s="162"/>
      <c r="C22" s="162"/>
      <c r="D22" s="155">
        <v>2.0</v>
      </c>
      <c r="E22" s="155">
        <v>1.0</v>
      </c>
      <c r="F22" s="155">
        <v>1.0</v>
      </c>
      <c r="G22" s="155">
        <v>1.0</v>
      </c>
      <c r="H22" s="155">
        <v>0.5</v>
      </c>
      <c r="I22" s="155">
        <v>1.0</v>
      </c>
      <c r="J22" s="155">
        <v>1.0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62" t="s">
        <v>291</v>
      </c>
      <c r="B23" s="162"/>
      <c r="C23" s="162"/>
      <c r="D23" s="155">
        <v>6.0</v>
      </c>
      <c r="E23" s="155">
        <v>6.0</v>
      </c>
      <c r="F23" s="155">
        <v>6.0</v>
      </c>
      <c r="G23" s="155">
        <v>0.5</v>
      </c>
      <c r="H23" s="155">
        <v>3.0</v>
      </c>
      <c r="I23" s="155">
        <v>9.0</v>
      </c>
      <c r="J23" s="155">
        <v>0.0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62" t="s">
        <v>291</v>
      </c>
      <c r="B24" s="162"/>
      <c r="C24" s="162"/>
      <c r="D24" s="155">
        <v>9.0</v>
      </c>
      <c r="E24" s="155">
        <v>9.0</v>
      </c>
      <c r="F24" s="155">
        <v>9.0</v>
      </c>
      <c r="G24" s="155">
        <v>4.0</v>
      </c>
      <c r="H24" s="155">
        <v>3.0</v>
      </c>
      <c r="I24" s="155">
        <v>3.0</v>
      </c>
      <c r="J24" s="155">
        <v>3.0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62" t="s">
        <v>291</v>
      </c>
      <c r="B25" s="162"/>
      <c r="C25" s="162"/>
      <c r="D25" s="155">
        <v>0.5</v>
      </c>
      <c r="E25" s="155">
        <v>0.5</v>
      </c>
      <c r="F25" s="155">
        <v>0.5</v>
      </c>
      <c r="G25" s="155">
        <v>1.0</v>
      </c>
      <c r="H25" s="155">
        <v>0.5</v>
      </c>
      <c r="I25" s="155">
        <v>0.0</v>
      </c>
      <c r="J25" s="155">
        <v>1.0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8.5" customHeight="1">
      <c r="A26" s="163" t="s">
        <v>292</v>
      </c>
      <c r="B26" s="163"/>
      <c r="C26" s="163"/>
      <c r="D26" s="163">
        <f>SUM(D7:D25)</f>
        <v>65.5</v>
      </c>
      <c r="E26" s="163">
        <f>SUM(E8:E25)</f>
        <v>49</v>
      </c>
      <c r="F26" s="163">
        <f t="shared" ref="F26:J26" si="1">SUM(F7:F25)</f>
        <v>44</v>
      </c>
      <c r="G26" s="163">
        <f t="shared" si="1"/>
        <v>26</v>
      </c>
      <c r="H26" s="163">
        <f t="shared" si="1"/>
        <v>12</v>
      </c>
      <c r="I26" s="163">
        <f t="shared" si="1"/>
        <v>16</v>
      </c>
      <c r="J26" s="163">
        <f t="shared" si="1"/>
        <v>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21.0"/>
    <col customWidth="1" min="3" max="3" width="22.89"/>
    <col customWidth="1" min="4" max="4" width="81.44"/>
    <col customWidth="1" min="5" max="6" width="11.22"/>
  </cols>
  <sheetData>
    <row r="1">
      <c r="A1" s="164" t="s">
        <v>293</v>
      </c>
      <c r="B1" s="79"/>
      <c r="C1" s="80"/>
      <c r="D1" s="1"/>
      <c r="E1" s="1"/>
      <c r="F1" s="1"/>
      <c r="G1" s="1"/>
      <c r="H1" s="1"/>
      <c r="I1" s="1"/>
      <c r="J1" s="1"/>
      <c r="K1" s="1"/>
    </row>
    <row r="2">
      <c r="A2" s="83"/>
      <c r="C2" s="84"/>
      <c r="D2" s="1"/>
      <c r="E2" s="1"/>
      <c r="F2" s="1"/>
      <c r="G2" s="1"/>
      <c r="H2" s="1"/>
      <c r="I2" s="1"/>
      <c r="J2" s="1"/>
      <c r="K2" s="1"/>
    </row>
    <row r="3">
      <c r="A3" s="83"/>
      <c r="C3" s="84"/>
      <c r="D3" s="1"/>
      <c r="E3" s="1"/>
      <c r="F3" s="1"/>
      <c r="G3" s="1"/>
      <c r="H3" s="1"/>
      <c r="I3" s="1"/>
      <c r="J3" s="1"/>
      <c r="K3" s="1"/>
    </row>
    <row r="4">
      <c r="A4" s="165"/>
      <c r="B4" s="166"/>
      <c r="C4" s="167"/>
      <c r="D4" s="1"/>
      <c r="E4" s="1"/>
      <c r="F4" s="1"/>
      <c r="G4" s="1"/>
      <c r="H4" s="1"/>
      <c r="I4" s="1"/>
      <c r="J4" s="1"/>
      <c r="K4" s="1"/>
    </row>
    <row r="5" ht="15.0" customHeight="1">
      <c r="A5" s="168" t="s">
        <v>294</v>
      </c>
      <c r="B5" s="168" t="s">
        <v>37</v>
      </c>
      <c r="C5" s="168" t="s">
        <v>295</v>
      </c>
      <c r="D5" s="168" t="s">
        <v>296</v>
      </c>
      <c r="E5" s="1"/>
      <c r="F5" s="1"/>
      <c r="G5" s="1"/>
      <c r="H5" s="1"/>
      <c r="I5" s="1"/>
      <c r="J5" s="1"/>
      <c r="K5" s="1"/>
    </row>
    <row r="6">
      <c r="A6" s="155">
        <v>1.0</v>
      </c>
      <c r="B6" s="155" t="s">
        <v>148</v>
      </c>
      <c r="C6" s="169">
        <f>'Plan de proyecto (3)'!E7+5</f>
        <v>46123</v>
      </c>
      <c r="D6" s="162"/>
      <c r="E6" s="1"/>
      <c r="F6" s="1"/>
      <c r="G6" s="1"/>
      <c r="H6" s="1"/>
      <c r="I6" s="1"/>
      <c r="J6" s="1"/>
      <c r="K6" s="1"/>
    </row>
    <row r="7">
      <c r="A7" s="155">
        <v>2.0</v>
      </c>
      <c r="B7" s="155" t="s">
        <v>148</v>
      </c>
      <c r="C7" s="169">
        <f>'Plan de proyecto (3)'!E12+5</f>
        <v>46135</v>
      </c>
      <c r="D7" s="162"/>
      <c r="E7" s="1"/>
      <c r="F7" s="1"/>
      <c r="G7" s="1"/>
      <c r="H7" s="1"/>
      <c r="I7" s="1"/>
      <c r="J7" s="1"/>
      <c r="K7" s="1"/>
    </row>
    <row r="8">
      <c r="A8" s="155">
        <v>3.0</v>
      </c>
      <c r="B8" s="155" t="s">
        <v>297</v>
      </c>
      <c r="C8" s="169">
        <f>'Plan de proyecto (3)'!E18+5</f>
        <v>46147</v>
      </c>
      <c r="D8" s="162"/>
      <c r="E8" s="1"/>
      <c r="F8" s="1"/>
      <c r="G8" s="1"/>
      <c r="H8" s="1"/>
      <c r="I8" s="1"/>
      <c r="J8" s="1"/>
      <c r="K8" s="1"/>
    </row>
    <row r="9">
      <c r="A9" s="155">
        <v>4.0</v>
      </c>
      <c r="B9" s="155"/>
      <c r="C9" s="169"/>
      <c r="D9" s="162"/>
      <c r="E9" s="1"/>
      <c r="F9" s="1"/>
      <c r="G9" s="1"/>
      <c r="H9" s="1"/>
      <c r="I9" s="1"/>
      <c r="J9" s="1"/>
      <c r="K9" s="1"/>
    </row>
    <row r="10">
      <c r="A10" s="155">
        <v>5.0</v>
      </c>
      <c r="B10" s="155"/>
      <c r="C10" s="169"/>
      <c r="D10" s="162"/>
      <c r="E10" s="1"/>
      <c r="F10" s="1"/>
      <c r="G10" s="1"/>
      <c r="H10" s="1"/>
      <c r="I10" s="1"/>
      <c r="J10" s="1"/>
      <c r="K10" s="1"/>
    </row>
    <row r="11">
      <c r="A11" s="155">
        <v>6.0</v>
      </c>
      <c r="B11" s="155"/>
      <c r="C11" s="169"/>
      <c r="D11" s="162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4"/>
  </mergeCells>
  <dataValidations>
    <dataValidation type="list" allowBlank="1" showErrorMessage="1" sqref="B6:B11">
      <formula1>Status</formula1>
    </dataValidation>
  </dataValidation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0"/>
    <col customWidth="1" min="2" max="2" width="28.44"/>
    <col customWidth="1" min="3" max="3" width="7.11"/>
    <col customWidth="1" min="4" max="4" width="10.44"/>
    <col customWidth="1" min="5" max="5" width="7.78"/>
    <col customWidth="1" min="6" max="6" width="7.22"/>
    <col customWidth="1" min="7" max="13" width="6.0"/>
    <col customWidth="1" min="14" max="22" width="3.89"/>
    <col customWidth="1" min="23" max="23" width="8.78"/>
    <col customWidth="1" min="24" max="26" width="8.0"/>
  </cols>
  <sheetData>
    <row r="1" ht="21.0" customHeight="1">
      <c r="A1" s="170"/>
      <c r="B1" s="171">
        <v>1.0</v>
      </c>
      <c r="C1" s="172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2.75" customHeight="1">
      <c r="A2" s="170"/>
      <c r="B2" s="170"/>
      <c r="C2" s="173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2.75" customHeight="1">
      <c r="A3" s="170"/>
      <c r="B3" s="170"/>
      <c r="C3" s="173"/>
      <c r="D3" s="170"/>
      <c r="E3" s="170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0"/>
      <c r="X3" s="170"/>
      <c r="Y3" s="170"/>
      <c r="Z3" s="170"/>
    </row>
    <row r="4" ht="12.75" customHeight="1">
      <c r="A4" s="170"/>
      <c r="B4" s="170"/>
      <c r="C4" s="173"/>
      <c r="D4" s="170"/>
      <c r="E4" s="170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0"/>
      <c r="X4" s="170"/>
      <c r="Y4" s="170"/>
      <c r="Z4" s="170"/>
    </row>
    <row r="5" ht="12.75" customHeight="1">
      <c r="A5" s="170"/>
      <c r="B5" s="170"/>
      <c r="C5" s="173"/>
      <c r="D5" s="170"/>
      <c r="E5" s="170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0"/>
      <c r="X5" s="170"/>
      <c r="Y5" s="170"/>
      <c r="Z5" s="170"/>
    </row>
    <row r="6" ht="12.75" customHeight="1">
      <c r="A6" s="170"/>
      <c r="B6" s="170"/>
      <c r="C6" s="173"/>
      <c r="D6" s="170"/>
      <c r="E6" s="170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0"/>
      <c r="X6" s="170"/>
      <c r="Y6" s="170"/>
      <c r="Z6" s="170"/>
    </row>
    <row r="7" ht="12.75" customHeight="1">
      <c r="A7" s="170"/>
      <c r="B7" s="170"/>
      <c r="C7" s="173"/>
      <c r="D7" s="170"/>
      <c r="E7" s="170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0"/>
      <c r="X7" s="170"/>
      <c r="Y7" s="170"/>
      <c r="Z7" s="170"/>
    </row>
    <row r="8" ht="12.75" customHeight="1">
      <c r="A8" s="170"/>
      <c r="B8" s="170"/>
      <c r="C8" s="173"/>
      <c r="D8" s="170"/>
      <c r="E8" s="170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0"/>
      <c r="X8" s="170"/>
      <c r="Y8" s="170"/>
      <c r="Z8" s="170"/>
    </row>
    <row r="9" ht="12.75" customHeight="1">
      <c r="A9" s="170"/>
      <c r="B9" s="170"/>
      <c r="C9" s="173"/>
      <c r="D9" s="170"/>
      <c r="E9" s="170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0"/>
      <c r="X9" s="170"/>
      <c r="Y9" s="170"/>
      <c r="Z9" s="170"/>
    </row>
    <row r="10" ht="12.75" customHeight="1">
      <c r="A10" s="170"/>
      <c r="B10" s="170"/>
      <c r="C10" s="173"/>
      <c r="D10" s="170"/>
      <c r="E10" s="170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0"/>
      <c r="X10" s="170"/>
      <c r="Y10" s="170"/>
      <c r="Z10" s="170"/>
    </row>
    <row r="11" ht="12.75" customHeight="1">
      <c r="A11" s="170"/>
      <c r="B11" s="170"/>
      <c r="C11" s="173"/>
      <c r="D11" s="170"/>
      <c r="E11" s="170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0"/>
      <c r="X11" s="170"/>
      <c r="Y11" s="170"/>
      <c r="Z11" s="170"/>
    </row>
    <row r="12" ht="12.75" customHeight="1">
      <c r="A12" s="170"/>
      <c r="B12" s="170"/>
      <c r="C12" s="173"/>
      <c r="D12" s="170"/>
      <c r="E12" s="170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0"/>
      <c r="X12" s="170"/>
      <c r="Y12" s="170"/>
      <c r="Z12" s="170"/>
    </row>
    <row r="13" ht="12.75" customHeight="1">
      <c r="A13" s="170"/>
      <c r="B13" s="170"/>
      <c r="C13" s="173"/>
      <c r="D13" s="170"/>
      <c r="E13" s="170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0"/>
      <c r="X13" s="170"/>
      <c r="Y13" s="170"/>
      <c r="Z13" s="170"/>
    </row>
    <row r="14" ht="12.75" customHeight="1">
      <c r="A14" s="170"/>
      <c r="B14" s="174" t="s">
        <v>298</v>
      </c>
      <c r="C14" s="175">
        <v>7.0</v>
      </c>
      <c r="D14" s="174" t="s">
        <v>299</v>
      </c>
      <c r="E14" s="174" t="s">
        <v>300</v>
      </c>
      <c r="F14" s="176" t="s">
        <v>170</v>
      </c>
      <c r="G14" s="174" t="s">
        <v>301</v>
      </c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0"/>
      <c r="X14" s="170"/>
      <c r="Y14" s="170"/>
      <c r="Z14" s="170"/>
    </row>
    <row r="15" ht="15.75" customHeight="1">
      <c r="A15" s="178"/>
      <c r="B15" s="178"/>
      <c r="C15" s="178"/>
      <c r="D15" s="179" t="s">
        <v>302</v>
      </c>
      <c r="F15" s="179">
        <f>SUM(W18:W30)</f>
        <v>56</v>
      </c>
      <c r="G15" s="179">
        <f>'Sp1'!TaskRows-SUM(G18:G30)</f>
        <v>53</v>
      </c>
      <c r="H15" s="179">
        <f t="shared" ref="H15:V15" si="1">G15-SUM(H18:H30)</f>
        <v>43</v>
      </c>
      <c r="I15" s="179">
        <f t="shared" si="1"/>
        <v>32</v>
      </c>
      <c r="J15" s="179">
        <f t="shared" si="1"/>
        <v>19</v>
      </c>
      <c r="K15" s="179">
        <f t="shared" si="1"/>
        <v>12</v>
      </c>
      <c r="L15" s="179">
        <f t="shared" si="1"/>
        <v>3</v>
      </c>
      <c r="M15" s="179">
        <f t="shared" si="1"/>
        <v>0</v>
      </c>
      <c r="N15" s="179">
        <f t="shared" si="1"/>
        <v>0</v>
      </c>
      <c r="O15" s="179">
        <f t="shared" si="1"/>
        <v>0</v>
      </c>
      <c r="P15" s="179">
        <f t="shared" si="1"/>
        <v>0</v>
      </c>
      <c r="Q15" s="179">
        <f t="shared" si="1"/>
        <v>0</v>
      </c>
      <c r="R15" s="179">
        <f t="shared" si="1"/>
        <v>0</v>
      </c>
      <c r="S15" s="179">
        <f t="shared" si="1"/>
        <v>0</v>
      </c>
      <c r="T15" s="179">
        <f t="shared" si="1"/>
        <v>0</v>
      </c>
      <c r="U15" s="179">
        <f t="shared" si="1"/>
        <v>0</v>
      </c>
      <c r="V15" s="179">
        <f t="shared" si="1"/>
        <v>0</v>
      </c>
      <c r="W15" s="179"/>
      <c r="X15" s="178"/>
      <c r="Y15" s="178"/>
      <c r="Z15" s="178"/>
    </row>
    <row r="16" ht="15.75" customHeight="1">
      <c r="A16" s="178"/>
      <c r="B16" s="178"/>
      <c r="C16" s="178"/>
      <c r="D16" s="180" t="s">
        <v>303</v>
      </c>
      <c r="F16" s="181">
        <f>SUM(F18:F30)</f>
        <v>56</v>
      </c>
      <c r="G16" s="182">
        <f>F16-(SUM($F$18:$F$30)/'Sp1'!ImplementationDays)</f>
        <v>48</v>
      </c>
      <c r="H16" s="182">
        <f>G16-(SUM($F$18:$F$30)/'Sp1'!ImplementationDays)</f>
        <v>40</v>
      </c>
      <c r="I16" s="182">
        <f>H16-(SUM($F$18:$F$30)/'Sp1'!ImplementationDays)</f>
        <v>32</v>
      </c>
      <c r="J16" s="182">
        <f>I16-(SUM($F$18:$F$30)/'Sp1'!ImplementationDays)</f>
        <v>24</v>
      </c>
      <c r="K16" s="182">
        <f>J16-(SUM($F$18:$F$30)/'Sp1'!ImplementationDays)</f>
        <v>16</v>
      </c>
      <c r="L16" s="182">
        <f>K16-(SUM($F$18:$F$30)/'Sp1'!ImplementationDays)</f>
        <v>8</v>
      </c>
      <c r="M16" s="182">
        <f>L16-(SUM($F$18:$F$30)/'Sp1'!ImplementationDays)</f>
        <v>0</v>
      </c>
      <c r="N16" s="182">
        <f>M16-(SUM($F$18:$F$30)/'Sp1'!ImplementationDays)</f>
        <v>-8</v>
      </c>
      <c r="O16" s="182">
        <f>N16-(SUM($F$18:$F$30)/'Sp1'!ImplementationDays)</f>
        <v>-16</v>
      </c>
      <c r="P16" s="182">
        <f>O16-(SUM($F$18:$F$30)/'Sp1'!ImplementationDays)</f>
        <v>-24</v>
      </c>
      <c r="Q16" s="182">
        <f>P16-(SUM($F$18:$F$30)/'Sp1'!ImplementationDays)</f>
        <v>-32</v>
      </c>
      <c r="R16" s="182">
        <f>Q16-(SUM($F$18:$F$30)/'Sp1'!ImplementationDays)</f>
        <v>-40</v>
      </c>
      <c r="S16" s="182">
        <f>R16-(SUM($F$18:$F$30)/'Sp1'!ImplementationDays)</f>
        <v>-48</v>
      </c>
      <c r="T16" s="182">
        <f>S16-(SUM($F$18:$F$30)/'Sp1'!ImplementationDays)</f>
        <v>-56</v>
      </c>
      <c r="U16" s="182">
        <f>T16-(SUM($F$18:$F$30)/'Sp1'!ImplementationDays)</f>
        <v>-64</v>
      </c>
      <c r="V16" s="182">
        <f>U16-(SUM($F$18:$F$30)/'Sp1'!ImplementationDays)</f>
        <v>-72</v>
      </c>
      <c r="W16" s="178"/>
      <c r="X16" s="178"/>
      <c r="Y16" s="178"/>
      <c r="Z16" s="178"/>
    </row>
    <row r="17" ht="12.75" customHeight="1">
      <c r="A17" s="170"/>
      <c r="B17" s="183" t="s">
        <v>304</v>
      </c>
      <c r="C17" s="184" t="s">
        <v>305</v>
      </c>
      <c r="D17" s="183" t="s">
        <v>306</v>
      </c>
      <c r="E17" s="183" t="s">
        <v>307</v>
      </c>
      <c r="F17" s="184" t="s">
        <v>308</v>
      </c>
      <c r="G17" s="184">
        <v>1.0</v>
      </c>
      <c r="H17" s="184">
        <f t="shared" ref="H17:V17" si="2">IF($C$14&gt;G17,G17+1,"")</f>
        <v>2</v>
      </c>
      <c r="I17" s="184">
        <f t="shared" si="2"/>
        <v>3</v>
      </c>
      <c r="J17" s="184">
        <f t="shared" si="2"/>
        <v>4</v>
      </c>
      <c r="K17" s="184">
        <f t="shared" si="2"/>
        <v>5</v>
      </c>
      <c r="L17" s="184">
        <f t="shared" si="2"/>
        <v>6</v>
      </c>
      <c r="M17" s="184">
        <f t="shared" si="2"/>
        <v>7</v>
      </c>
      <c r="N17" s="184" t="str">
        <f t="shared" si="2"/>
        <v/>
      </c>
      <c r="O17" s="184" t="str">
        <f t="shared" si="2"/>
        <v/>
      </c>
      <c r="P17" s="184" t="str">
        <f t="shared" si="2"/>
        <v/>
      </c>
      <c r="Q17" s="184" t="str">
        <f t="shared" si="2"/>
        <v/>
      </c>
      <c r="R17" s="184" t="str">
        <f t="shared" si="2"/>
        <v/>
      </c>
      <c r="S17" s="184" t="str">
        <f t="shared" si="2"/>
        <v/>
      </c>
      <c r="T17" s="184" t="str">
        <f t="shared" si="2"/>
        <v/>
      </c>
      <c r="U17" s="184" t="str">
        <f t="shared" si="2"/>
        <v/>
      </c>
      <c r="V17" s="184" t="str">
        <f t="shared" si="2"/>
        <v/>
      </c>
      <c r="W17" s="185" t="s">
        <v>309</v>
      </c>
      <c r="X17" s="170"/>
      <c r="Y17" s="170"/>
      <c r="Z17" s="170"/>
    </row>
    <row r="18" ht="25.5" customHeight="1">
      <c r="A18" s="170"/>
      <c r="B18" s="186" t="s">
        <v>175</v>
      </c>
      <c r="C18" s="187" t="s">
        <v>40</v>
      </c>
      <c r="D18" s="188" t="s">
        <v>156</v>
      </c>
      <c r="E18" s="187" t="s">
        <v>274</v>
      </c>
      <c r="F18" s="189">
        <v>3.0</v>
      </c>
      <c r="G18" s="188">
        <v>3.0</v>
      </c>
      <c r="H18" s="188"/>
      <c r="I18" s="188"/>
      <c r="J18" s="188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90">
        <f t="shared" ref="W18:W30" si="3">SUM(G18:V18)</f>
        <v>3</v>
      </c>
      <c r="X18" s="170"/>
      <c r="Y18" s="170"/>
    </row>
    <row r="19" ht="22.5" customHeight="1">
      <c r="A19" s="170"/>
      <c r="B19" s="186" t="s">
        <v>176</v>
      </c>
      <c r="C19" s="187" t="s">
        <v>40</v>
      </c>
      <c r="D19" s="188" t="s">
        <v>156</v>
      </c>
      <c r="E19" s="187" t="s">
        <v>274</v>
      </c>
      <c r="F19" s="189">
        <v>5.0</v>
      </c>
      <c r="G19" s="187"/>
      <c r="H19" s="188">
        <v>5.0</v>
      </c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90">
        <f t="shared" si="3"/>
        <v>5</v>
      </c>
      <c r="X19" s="170"/>
      <c r="Y19" s="170"/>
    </row>
    <row r="20" ht="25.5" customHeight="1">
      <c r="A20" s="170"/>
      <c r="B20" s="186" t="s">
        <v>177</v>
      </c>
      <c r="C20" s="187" t="s">
        <v>40</v>
      </c>
      <c r="D20" s="188" t="s">
        <v>156</v>
      </c>
      <c r="E20" s="187" t="s">
        <v>274</v>
      </c>
      <c r="F20" s="189">
        <v>2.0</v>
      </c>
      <c r="G20" s="187"/>
      <c r="H20" s="187"/>
      <c r="I20" s="188">
        <v>2.0</v>
      </c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90">
        <f t="shared" si="3"/>
        <v>2</v>
      </c>
      <c r="X20" s="170"/>
      <c r="Y20" s="170"/>
    </row>
    <row r="21" ht="20.25" customHeight="1">
      <c r="A21" s="170"/>
      <c r="B21" s="186" t="s">
        <v>178</v>
      </c>
      <c r="C21" s="187" t="s">
        <v>40</v>
      </c>
      <c r="D21" s="188" t="s">
        <v>156</v>
      </c>
      <c r="E21" s="187" t="s">
        <v>274</v>
      </c>
      <c r="F21" s="189">
        <v>4.0</v>
      </c>
      <c r="G21" s="187"/>
      <c r="H21" s="187"/>
      <c r="I21" s="187"/>
      <c r="J21" s="188">
        <v>4.0</v>
      </c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90">
        <f t="shared" si="3"/>
        <v>4</v>
      </c>
      <c r="X21" s="170"/>
      <c r="Y21" s="170"/>
    </row>
    <row r="22" ht="21.0" customHeight="1">
      <c r="A22" s="170"/>
      <c r="B22" s="186" t="s">
        <v>179</v>
      </c>
      <c r="C22" s="188" t="s">
        <v>46</v>
      </c>
      <c r="D22" s="188" t="s">
        <v>157</v>
      </c>
      <c r="E22" s="187" t="s">
        <v>274</v>
      </c>
      <c r="F22" s="189">
        <v>5.0</v>
      </c>
      <c r="G22" s="187"/>
      <c r="H22" s="188">
        <v>5.0</v>
      </c>
      <c r="I22" s="188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90">
        <f t="shared" si="3"/>
        <v>5</v>
      </c>
      <c r="X22" s="170"/>
      <c r="Y22" s="170"/>
    </row>
    <row r="23" ht="27.75" customHeight="1">
      <c r="A23" s="170"/>
      <c r="B23" s="186" t="s">
        <v>180</v>
      </c>
      <c r="C23" s="188" t="s">
        <v>46</v>
      </c>
      <c r="D23" s="188" t="s">
        <v>157</v>
      </c>
      <c r="E23" s="187" t="s">
        <v>274</v>
      </c>
      <c r="F23" s="189">
        <v>8.0</v>
      </c>
      <c r="G23" s="187"/>
      <c r="H23" s="187"/>
      <c r="I23" s="188">
        <v>4.0</v>
      </c>
      <c r="J23" s="188">
        <v>4.0</v>
      </c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90">
        <f t="shared" si="3"/>
        <v>8</v>
      </c>
      <c r="X23" s="170"/>
      <c r="Y23" s="170"/>
    </row>
    <row r="24" ht="12.75" customHeight="1">
      <c r="A24" s="170"/>
      <c r="B24" s="186" t="s">
        <v>182</v>
      </c>
      <c r="C24" s="188" t="s">
        <v>46</v>
      </c>
      <c r="D24" s="188" t="s">
        <v>157</v>
      </c>
      <c r="E24" s="187" t="s">
        <v>274</v>
      </c>
      <c r="F24" s="189">
        <v>2.0</v>
      </c>
      <c r="G24" s="187"/>
      <c r="H24" s="187"/>
      <c r="I24" s="187"/>
      <c r="J24" s="187"/>
      <c r="K24" s="187"/>
      <c r="L24" s="188">
        <v>2.0</v>
      </c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90">
        <f t="shared" si="3"/>
        <v>2</v>
      </c>
      <c r="X24" s="170"/>
      <c r="Y24" s="170"/>
    </row>
    <row r="25" ht="21.75" customHeight="1">
      <c r="A25" s="170"/>
      <c r="B25" s="186" t="s">
        <v>183</v>
      </c>
      <c r="C25" s="188" t="s">
        <v>51</v>
      </c>
      <c r="D25" s="188" t="s">
        <v>158</v>
      </c>
      <c r="E25" s="187" t="s">
        <v>274</v>
      </c>
      <c r="F25" s="188">
        <v>5.0</v>
      </c>
      <c r="G25" s="187"/>
      <c r="H25" s="187"/>
      <c r="I25" s="188">
        <v>5.0</v>
      </c>
      <c r="J25" s="187"/>
      <c r="K25" s="188"/>
      <c r="L25" s="188"/>
      <c r="M25" s="188"/>
      <c r="N25" s="187"/>
      <c r="O25" s="187"/>
      <c r="P25" s="187"/>
      <c r="Q25" s="187"/>
      <c r="R25" s="187"/>
      <c r="S25" s="187"/>
      <c r="T25" s="187"/>
      <c r="U25" s="187"/>
      <c r="V25" s="187"/>
      <c r="W25" s="190">
        <f t="shared" si="3"/>
        <v>5</v>
      </c>
      <c r="X25" s="170"/>
      <c r="Y25" s="170"/>
    </row>
    <row r="26" ht="24.0" customHeight="1">
      <c r="A26" s="170"/>
      <c r="B26" s="186" t="s">
        <v>184</v>
      </c>
      <c r="C26" s="188" t="s">
        <v>51</v>
      </c>
      <c r="D26" s="188" t="s">
        <v>158</v>
      </c>
      <c r="E26" s="187" t="s">
        <v>274</v>
      </c>
      <c r="F26" s="188">
        <v>8.0</v>
      </c>
      <c r="G26" s="187"/>
      <c r="H26" s="187"/>
      <c r="I26" s="187"/>
      <c r="J26" s="187"/>
      <c r="K26" s="188">
        <v>4.0</v>
      </c>
      <c r="L26" s="188">
        <v>4.0</v>
      </c>
      <c r="M26" s="188"/>
      <c r="N26" s="187"/>
      <c r="O26" s="187"/>
      <c r="P26" s="187"/>
      <c r="Q26" s="187"/>
      <c r="R26" s="187"/>
      <c r="S26" s="187"/>
      <c r="T26" s="187"/>
      <c r="U26" s="187"/>
      <c r="V26" s="187"/>
      <c r="W26" s="190">
        <f t="shared" si="3"/>
        <v>8</v>
      </c>
      <c r="X26" s="170"/>
      <c r="Y26" s="170"/>
    </row>
    <row r="27" ht="24.75" customHeight="1">
      <c r="A27" s="170"/>
      <c r="B27" s="186" t="s">
        <v>185</v>
      </c>
      <c r="C27" s="188" t="s">
        <v>51</v>
      </c>
      <c r="D27" s="188" t="s">
        <v>158</v>
      </c>
      <c r="E27" s="187" t="s">
        <v>274</v>
      </c>
      <c r="F27" s="188">
        <v>3.0</v>
      </c>
      <c r="G27" s="187"/>
      <c r="H27" s="187"/>
      <c r="I27" s="187"/>
      <c r="J27" s="187"/>
      <c r="K27" s="187"/>
      <c r="L27" s="187"/>
      <c r="M27" s="188">
        <v>3.0</v>
      </c>
      <c r="N27" s="187"/>
      <c r="O27" s="187"/>
      <c r="P27" s="187"/>
      <c r="Q27" s="187"/>
      <c r="R27" s="187"/>
      <c r="S27" s="187"/>
      <c r="T27" s="187"/>
      <c r="U27" s="187"/>
      <c r="V27" s="187"/>
      <c r="W27" s="190">
        <f t="shared" si="3"/>
        <v>3</v>
      </c>
      <c r="X27" s="170"/>
      <c r="Y27" s="170"/>
    </row>
    <row r="28" ht="24.75" customHeight="1">
      <c r="A28" s="170"/>
      <c r="B28" s="186" t="s">
        <v>186</v>
      </c>
      <c r="C28" s="188" t="s">
        <v>56</v>
      </c>
      <c r="D28" s="188" t="s">
        <v>159</v>
      </c>
      <c r="E28" s="187" t="s">
        <v>274</v>
      </c>
      <c r="F28" s="191">
        <v>5.0</v>
      </c>
      <c r="G28" s="190"/>
      <c r="H28" s="190"/>
      <c r="I28" s="190"/>
      <c r="J28" s="191">
        <v>5.0</v>
      </c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>
        <f t="shared" si="3"/>
        <v>5</v>
      </c>
      <c r="X28" s="170"/>
      <c r="Y28" s="170"/>
    </row>
    <row r="29" ht="21.75" customHeight="1">
      <c r="A29" s="170"/>
      <c r="B29" s="186" t="s">
        <v>187</v>
      </c>
      <c r="C29" s="188" t="s">
        <v>56</v>
      </c>
      <c r="D29" s="188" t="s">
        <v>159</v>
      </c>
      <c r="E29" s="187" t="s">
        <v>274</v>
      </c>
      <c r="F29" s="191">
        <v>3.0</v>
      </c>
      <c r="G29" s="190"/>
      <c r="H29" s="190"/>
      <c r="I29" s="190"/>
      <c r="J29" s="190"/>
      <c r="K29" s="191">
        <v>3.0</v>
      </c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>
        <f t="shared" si="3"/>
        <v>3</v>
      </c>
      <c r="X29" s="170"/>
      <c r="Y29" s="170"/>
    </row>
    <row r="30" ht="25.5" customHeight="1">
      <c r="A30" s="170"/>
      <c r="B30" s="186" t="s">
        <v>188</v>
      </c>
      <c r="C30" s="188" t="s">
        <v>56</v>
      </c>
      <c r="D30" s="188" t="s">
        <v>159</v>
      </c>
      <c r="E30" s="187" t="s">
        <v>274</v>
      </c>
      <c r="F30" s="191">
        <v>3.0</v>
      </c>
      <c r="G30" s="190"/>
      <c r="H30" s="190"/>
      <c r="I30" s="190"/>
      <c r="J30" s="190"/>
      <c r="K30" s="190"/>
      <c r="L30" s="191">
        <v>3.0</v>
      </c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>
        <f t="shared" si="3"/>
        <v>3</v>
      </c>
      <c r="X30" s="170"/>
      <c r="Y30" s="170"/>
    </row>
    <row r="31" ht="12.75" customHeight="1">
      <c r="A31" s="170"/>
      <c r="B31" s="170"/>
      <c r="C31" s="173"/>
      <c r="D31" s="178"/>
      <c r="E31" s="170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0"/>
      <c r="X31" s="170"/>
      <c r="Y31" s="170"/>
      <c r="Z31" s="170"/>
    </row>
    <row r="32" ht="12.75" customHeight="1">
      <c r="A32" s="170"/>
      <c r="B32" s="170"/>
      <c r="C32" s="173"/>
      <c r="D32" s="178"/>
      <c r="E32" s="170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0"/>
      <c r="X32" s="170"/>
      <c r="Y32" s="170"/>
      <c r="Z32" s="170"/>
    </row>
    <row r="33" ht="12.75" customHeight="1">
      <c r="A33" s="170"/>
      <c r="B33" s="170"/>
      <c r="C33" s="173"/>
      <c r="D33" s="178"/>
      <c r="E33" s="170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0"/>
      <c r="X33" s="170"/>
      <c r="Y33" s="170"/>
      <c r="Z33" s="170"/>
    </row>
    <row r="34" ht="12.75" customHeight="1">
      <c r="A34" s="170"/>
      <c r="B34" s="170"/>
      <c r="C34" s="173"/>
      <c r="D34" s="178"/>
      <c r="E34" s="170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0"/>
      <c r="X34" s="170"/>
      <c r="Y34" s="170"/>
      <c r="Z34" s="170"/>
    </row>
    <row r="35" ht="12.75" customHeight="1">
      <c r="A35" s="170"/>
      <c r="B35" s="170"/>
      <c r="C35" s="173"/>
      <c r="D35" s="178"/>
      <c r="E35" s="170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0"/>
      <c r="X35" s="170"/>
      <c r="Y35" s="170"/>
      <c r="Z35" s="170"/>
    </row>
    <row r="36" ht="12.75" customHeight="1">
      <c r="A36" s="170"/>
      <c r="B36" s="170"/>
      <c r="C36" s="173"/>
      <c r="D36" s="178"/>
      <c r="E36" s="170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0"/>
      <c r="X36" s="170"/>
      <c r="Y36" s="170"/>
      <c r="Z36" s="170"/>
    </row>
    <row r="37" ht="12.75" customHeight="1">
      <c r="A37" s="170"/>
      <c r="B37" s="170"/>
      <c r="C37" s="173"/>
      <c r="D37" s="178"/>
      <c r="E37" s="170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0"/>
      <c r="X37" s="170"/>
      <c r="Y37" s="170"/>
      <c r="Z37" s="170"/>
    </row>
    <row r="38" ht="12.75" customHeight="1">
      <c r="A38" s="170"/>
      <c r="B38" s="170"/>
      <c r="C38" s="173"/>
      <c r="D38" s="178"/>
      <c r="E38" s="170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0"/>
      <c r="X38" s="170"/>
      <c r="Y38" s="170"/>
      <c r="Z38" s="170"/>
    </row>
    <row r="39" ht="12.75" customHeight="1">
      <c r="A39" s="170"/>
      <c r="B39" s="170"/>
      <c r="C39" s="173"/>
      <c r="D39" s="178"/>
      <c r="E39" s="170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0"/>
      <c r="X39" s="170"/>
      <c r="Y39" s="170"/>
      <c r="Z39" s="170"/>
    </row>
    <row r="40" ht="12.75" customHeight="1">
      <c r="A40" s="170"/>
      <c r="B40" s="170"/>
      <c r="C40" s="173"/>
      <c r="D40" s="178"/>
      <c r="E40" s="170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0"/>
      <c r="X40" s="170"/>
      <c r="Y40" s="170"/>
      <c r="Z40" s="170"/>
    </row>
    <row r="41" ht="12.75" customHeight="1">
      <c r="A41" s="170"/>
      <c r="B41" s="170"/>
      <c r="C41" s="173"/>
      <c r="D41" s="178"/>
      <c r="E41" s="170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0"/>
      <c r="X41" s="170"/>
      <c r="Y41" s="170"/>
      <c r="Z41" s="170"/>
    </row>
    <row r="42" ht="12.75" customHeight="1">
      <c r="A42" s="170"/>
      <c r="B42" s="170"/>
      <c r="C42" s="173"/>
      <c r="D42" s="178"/>
      <c r="E42" s="170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0"/>
      <c r="X42" s="170"/>
      <c r="Y42" s="170"/>
      <c r="Z42" s="170"/>
    </row>
    <row r="43" ht="12.75" customHeight="1">
      <c r="A43" s="170"/>
      <c r="B43" s="170"/>
      <c r="C43" s="173"/>
      <c r="D43" s="178"/>
      <c r="E43" s="170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0"/>
      <c r="X43" s="170"/>
      <c r="Y43" s="170"/>
      <c r="Z43" s="170"/>
    </row>
    <row r="44" ht="12.75" customHeight="1">
      <c r="A44" s="170"/>
      <c r="B44" s="170"/>
      <c r="C44" s="173"/>
      <c r="D44" s="178"/>
      <c r="E44" s="170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0"/>
      <c r="X44" s="170"/>
      <c r="Y44" s="170"/>
      <c r="Z44" s="170"/>
    </row>
    <row r="45" ht="12.75" customHeight="1">
      <c r="A45" s="170"/>
      <c r="B45" s="170"/>
      <c r="C45" s="173"/>
      <c r="D45" s="178"/>
      <c r="E45" s="170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0"/>
      <c r="X45" s="170"/>
      <c r="Y45" s="170"/>
      <c r="Z45" s="170"/>
    </row>
    <row r="46" ht="12.75" customHeight="1">
      <c r="A46" s="170"/>
      <c r="B46" s="170"/>
      <c r="C46" s="173"/>
      <c r="D46" s="178"/>
      <c r="E46" s="170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0"/>
      <c r="X46" s="170"/>
      <c r="Y46" s="170"/>
      <c r="Z46" s="170"/>
    </row>
    <row r="47" ht="12.75" customHeight="1">
      <c r="A47" s="170"/>
      <c r="B47" s="170"/>
      <c r="C47" s="173"/>
      <c r="D47" s="178"/>
      <c r="E47" s="170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0"/>
      <c r="X47" s="170"/>
      <c r="Y47" s="170"/>
      <c r="Z47" s="170"/>
    </row>
    <row r="48" ht="12.75" customHeight="1">
      <c r="A48" s="170"/>
      <c r="B48" s="170"/>
      <c r="C48" s="173"/>
      <c r="D48" s="178"/>
      <c r="E48" s="170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0"/>
      <c r="X48" s="170"/>
      <c r="Y48" s="170"/>
      <c r="Z48" s="170"/>
    </row>
    <row r="49" ht="12.75" customHeight="1">
      <c r="A49" s="170"/>
      <c r="B49" s="170"/>
      <c r="C49" s="173"/>
      <c r="D49" s="178"/>
      <c r="E49" s="170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0"/>
      <c r="X49" s="170"/>
      <c r="Y49" s="170"/>
      <c r="Z49" s="170"/>
    </row>
    <row r="50" ht="12.75" customHeight="1">
      <c r="A50" s="170"/>
      <c r="B50" s="170"/>
      <c r="C50" s="173"/>
      <c r="D50" s="178"/>
      <c r="E50" s="170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0"/>
      <c r="X50" s="170"/>
      <c r="Y50" s="170"/>
      <c r="Z50" s="170"/>
    </row>
    <row r="51" ht="12.75" customHeight="1">
      <c r="A51" s="170"/>
      <c r="B51" s="170"/>
      <c r="C51" s="173"/>
      <c r="D51" s="178"/>
      <c r="E51" s="170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0"/>
      <c r="X51" s="170"/>
      <c r="Y51" s="170"/>
      <c r="Z51" s="170"/>
    </row>
    <row r="52" ht="12.75" customHeight="1">
      <c r="A52" s="170"/>
      <c r="B52" s="170"/>
      <c r="C52" s="173"/>
      <c r="D52" s="178"/>
      <c r="E52" s="170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0"/>
      <c r="X52" s="170"/>
      <c r="Y52" s="170"/>
      <c r="Z52" s="170"/>
    </row>
    <row r="53" ht="12.75" customHeight="1">
      <c r="A53" s="170"/>
      <c r="B53" s="170"/>
      <c r="C53" s="173"/>
      <c r="D53" s="170"/>
      <c r="E53" s="170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0"/>
      <c r="X53" s="170"/>
      <c r="Y53" s="170"/>
      <c r="Z53" s="170"/>
    </row>
    <row r="54" ht="12.75" customHeight="1">
      <c r="A54" s="170"/>
      <c r="B54" s="170"/>
      <c r="C54" s="173"/>
      <c r="D54" s="170"/>
      <c r="E54" s="170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0"/>
      <c r="X54" s="170"/>
      <c r="Y54" s="170"/>
      <c r="Z54" s="170"/>
    </row>
    <row r="55" ht="12.75" customHeight="1">
      <c r="A55" s="170"/>
      <c r="B55" s="170"/>
      <c r="C55" s="173"/>
      <c r="D55" s="170"/>
      <c r="E55" s="170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0"/>
      <c r="X55" s="170"/>
      <c r="Y55" s="170"/>
      <c r="Z55" s="170"/>
    </row>
    <row r="56" ht="12.75" customHeight="1">
      <c r="A56" s="170"/>
      <c r="B56" s="170"/>
      <c r="C56" s="173"/>
      <c r="D56" s="170"/>
      <c r="E56" s="170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0"/>
      <c r="X56" s="170"/>
      <c r="Y56" s="170"/>
      <c r="Z56" s="170"/>
    </row>
    <row r="57" ht="12.75" customHeight="1">
      <c r="A57" s="170"/>
      <c r="B57" s="170"/>
      <c r="C57" s="173"/>
      <c r="D57" s="170"/>
      <c r="E57" s="170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0"/>
      <c r="X57" s="170"/>
      <c r="Y57" s="170"/>
      <c r="Z57" s="170"/>
    </row>
    <row r="58" ht="12.75" customHeight="1">
      <c r="A58" s="170"/>
      <c r="B58" s="170"/>
      <c r="C58" s="173"/>
      <c r="D58" s="170"/>
      <c r="E58" s="170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0"/>
      <c r="X58" s="170"/>
      <c r="Y58" s="170"/>
      <c r="Z58" s="170"/>
    </row>
    <row r="59" ht="12.75" customHeight="1">
      <c r="A59" s="170"/>
      <c r="B59" s="170"/>
      <c r="C59" s="173"/>
      <c r="D59" s="170"/>
      <c r="E59" s="170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0"/>
      <c r="X59" s="170"/>
      <c r="Y59" s="170"/>
      <c r="Z59" s="170"/>
    </row>
    <row r="60" ht="12.75" customHeight="1">
      <c r="A60" s="170"/>
      <c r="B60" s="170"/>
      <c r="C60" s="173"/>
      <c r="D60" s="170"/>
      <c r="E60" s="170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0"/>
      <c r="X60" s="170"/>
      <c r="Y60" s="170"/>
      <c r="Z60" s="170"/>
    </row>
    <row r="61" ht="12.75" customHeight="1">
      <c r="A61" s="170"/>
      <c r="B61" s="170"/>
      <c r="C61" s="173"/>
      <c r="D61" s="170"/>
      <c r="E61" s="170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0"/>
      <c r="X61" s="170"/>
      <c r="Y61" s="170"/>
      <c r="Z61" s="170"/>
    </row>
    <row r="62" ht="12.75" customHeight="1">
      <c r="A62" s="170"/>
      <c r="B62" s="170"/>
      <c r="C62" s="173"/>
      <c r="D62" s="170"/>
      <c r="E62" s="170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0"/>
      <c r="X62" s="170"/>
      <c r="Y62" s="170"/>
      <c r="Z62" s="170"/>
    </row>
    <row r="63" ht="12.75" customHeight="1">
      <c r="A63" s="170"/>
      <c r="B63" s="170"/>
      <c r="C63" s="173"/>
      <c r="D63" s="170"/>
      <c r="E63" s="170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0"/>
      <c r="X63" s="170"/>
      <c r="Y63" s="170"/>
      <c r="Z63" s="170"/>
    </row>
    <row r="64" ht="12.75" customHeight="1">
      <c r="A64" s="170"/>
      <c r="B64" s="170"/>
      <c r="C64" s="173"/>
      <c r="D64" s="170"/>
      <c r="E64" s="170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0"/>
      <c r="X64" s="170"/>
      <c r="Y64" s="170"/>
      <c r="Z64" s="170"/>
    </row>
    <row r="65" ht="12.75" customHeight="1">
      <c r="A65" s="170"/>
      <c r="B65" s="170"/>
      <c r="C65" s="173"/>
      <c r="D65" s="170"/>
      <c r="E65" s="170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0"/>
      <c r="X65" s="170"/>
      <c r="Y65" s="170"/>
      <c r="Z65" s="170"/>
    </row>
    <row r="66" ht="12.75" customHeight="1">
      <c r="A66" s="170"/>
      <c r="B66" s="170"/>
      <c r="C66" s="173"/>
      <c r="D66" s="170"/>
      <c r="E66" s="170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0"/>
      <c r="X66" s="170"/>
      <c r="Y66" s="170"/>
      <c r="Z66" s="170"/>
    </row>
    <row r="67" ht="12.75" customHeight="1">
      <c r="A67" s="170"/>
      <c r="B67" s="170"/>
      <c r="C67" s="173"/>
      <c r="D67" s="170"/>
      <c r="E67" s="170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0"/>
      <c r="X67" s="170"/>
      <c r="Y67" s="170"/>
      <c r="Z67" s="170"/>
    </row>
    <row r="68" ht="12.75" customHeight="1">
      <c r="A68" s="170"/>
      <c r="B68" s="170"/>
      <c r="C68" s="173"/>
      <c r="D68" s="170"/>
      <c r="E68" s="170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0"/>
      <c r="X68" s="170"/>
      <c r="Y68" s="170"/>
      <c r="Z68" s="170"/>
    </row>
    <row r="69" ht="12.75" customHeight="1">
      <c r="A69" s="170"/>
      <c r="B69" s="170"/>
      <c r="C69" s="173"/>
      <c r="D69" s="170"/>
      <c r="E69" s="170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0"/>
      <c r="X69" s="170"/>
      <c r="Y69" s="170"/>
      <c r="Z69" s="170"/>
    </row>
    <row r="70" ht="12.75" customHeight="1">
      <c r="A70" s="170"/>
      <c r="B70" s="170"/>
      <c r="C70" s="173"/>
      <c r="D70" s="170"/>
      <c r="E70" s="170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0"/>
      <c r="X70" s="170"/>
      <c r="Y70" s="170"/>
      <c r="Z70" s="170"/>
    </row>
    <row r="71" ht="12.75" customHeight="1">
      <c r="A71" s="170"/>
      <c r="B71" s="170"/>
      <c r="C71" s="173"/>
      <c r="D71" s="170"/>
      <c r="E71" s="170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0"/>
      <c r="X71" s="170"/>
      <c r="Y71" s="170"/>
      <c r="Z71" s="170"/>
    </row>
    <row r="72" ht="12.75" customHeight="1">
      <c r="A72" s="170"/>
      <c r="B72" s="170"/>
      <c r="C72" s="173"/>
      <c r="D72" s="170"/>
      <c r="E72" s="170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0"/>
      <c r="X72" s="170"/>
      <c r="Y72" s="170"/>
      <c r="Z72" s="170"/>
    </row>
    <row r="73" ht="12.75" customHeight="1">
      <c r="A73" s="170"/>
      <c r="B73" s="170"/>
      <c r="C73" s="173"/>
      <c r="D73" s="170"/>
      <c r="E73" s="170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0"/>
      <c r="X73" s="170"/>
      <c r="Y73" s="170"/>
      <c r="Z73" s="170"/>
    </row>
    <row r="74" ht="12.75" customHeight="1">
      <c r="A74" s="170"/>
      <c r="B74" s="170"/>
      <c r="C74" s="173"/>
      <c r="D74" s="170"/>
      <c r="E74" s="170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0"/>
      <c r="X74" s="170"/>
      <c r="Y74" s="170"/>
      <c r="Z74" s="170"/>
    </row>
    <row r="75" ht="12.75" customHeight="1">
      <c r="A75" s="170"/>
      <c r="B75" s="170"/>
      <c r="C75" s="173"/>
      <c r="D75" s="170"/>
      <c r="E75" s="170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0"/>
      <c r="X75" s="170"/>
      <c r="Y75" s="170"/>
      <c r="Z75" s="170"/>
    </row>
    <row r="76" ht="12.75" customHeight="1">
      <c r="A76" s="170"/>
      <c r="B76" s="170"/>
      <c r="C76" s="173"/>
      <c r="D76" s="170"/>
      <c r="E76" s="170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0"/>
      <c r="X76" s="170"/>
      <c r="Y76" s="170"/>
      <c r="Z76" s="170"/>
    </row>
    <row r="77" ht="12.75" customHeight="1">
      <c r="A77" s="170"/>
      <c r="B77" s="170"/>
      <c r="C77" s="173"/>
      <c r="D77" s="170"/>
      <c r="E77" s="170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0"/>
      <c r="X77" s="170"/>
      <c r="Y77" s="170"/>
      <c r="Z77" s="170"/>
    </row>
    <row r="78" ht="12.75" customHeight="1">
      <c r="A78" s="170"/>
      <c r="B78" s="170"/>
      <c r="C78" s="173"/>
      <c r="D78" s="170"/>
      <c r="E78" s="170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0"/>
      <c r="X78" s="170"/>
      <c r="Y78" s="170"/>
      <c r="Z78" s="170"/>
    </row>
    <row r="79" ht="12.75" customHeight="1">
      <c r="A79" s="170"/>
      <c r="B79" s="170"/>
      <c r="C79" s="173"/>
      <c r="D79" s="170"/>
      <c r="E79" s="170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0"/>
      <c r="X79" s="170"/>
      <c r="Y79" s="170"/>
      <c r="Z79" s="170"/>
    </row>
    <row r="80" ht="12.75" customHeight="1">
      <c r="A80" s="170"/>
      <c r="B80" s="170"/>
      <c r="C80" s="173"/>
      <c r="D80" s="170"/>
      <c r="E80" s="170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0"/>
      <c r="X80" s="170"/>
      <c r="Y80" s="170"/>
      <c r="Z80" s="170"/>
    </row>
    <row r="81" ht="12.75" customHeight="1">
      <c r="A81" s="170"/>
      <c r="B81" s="170"/>
      <c r="C81" s="173"/>
      <c r="D81" s="170"/>
      <c r="E81" s="170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0"/>
      <c r="X81" s="170"/>
      <c r="Y81" s="170"/>
      <c r="Z81" s="170"/>
    </row>
    <row r="82" ht="12.75" customHeight="1">
      <c r="A82" s="170"/>
      <c r="B82" s="170"/>
      <c r="C82" s="173"/>
      <c r="D82" s="170"/>
      <c r="E82" s="170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0"/>
      <c r="X82" s="170"/>
      <c r="Y82" s="170"/>
      <c r="Z82" s="170"/>
    </row>
    <row r="83" ht="12.75" customHeight="1">
      <c r="A83" s="170"/>
      <c r="B83" s="170"/>
      <c r="C83" s="173"/>
      <c r="D83" s="170"/>
      <c r="E83" s="170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0"/>
      <c r="X83" s="170"/>
      <c r="Y83" s="170"/>
      <c r="Z83" s="170"/>
    </row>
    <row r="84" ht="12.75" customHeight="1">
      <c r="A84" s="170"/>
      <c r="B84" s="170"/>
      <c r="C84" s="173"/>
      <c r="D84" s="170"/>
      <c r="E84" s="170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0"/>
      <c r="X84" s="170"/>
      <c r="Y84" s="170"/>
      <c r="Z84" s="170"/>
    </row>
    <row r="85" ht="12.75" customHeight="1">
      <c r="A85" s="170"/>
      <c r="B85" s="170"/>
      <c r="C85" s="173"/>
      <c r="D85" s="170"/>
      <c r="E85" s="170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0"/>
      <c r="X85" s="170"/>
      <c r="Y85" s="170"/>
      <c r="Z85" s="170"/>
    </row>
    <row r="86" ht="12.75" customHeight="1">
      <c r="A86" s="170"/>
      <c r="B86" s="170"/>
      <c r="C86" s="173"/>
      <c r="D86" s="170"/>
      <c r="E86" s="170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0"/>
      <c r="X86" s="170"/>
      <c r="Y86" s="170"/>
      <c r="Z86" s="170"/>
    </row>
    <row r="87" ht="12.75" customHeight="1">
      <c r="A87" s="170"/>
      <c r="B87" s="170"/>
      <c r="C87" s="173"/>
      <c r="D87" s="170"/>
      <c r="E87" s="170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0"/>
      <c r="X87" s="170"/>
      <c r="Y87" s="170"/>
      <c r="Z87" s="170"/>
    </row>
    <row r="88" ht="12.75" customHeight="1">
      <c r="A88" s="170"/>
      <c r="B88" s="170"/>
      <c r="C88" s="173"/>
      <c r="D88" s="170"/>
      <c r="E88" s="170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0"/>
      <c r="X88" s="170"/>
      <c r="Y88" s="170"/>
      <c r="Z88" s="170"/>
    </row>
    <row r="89" ht="12.75" customHeight="1">
      <c r="A89" s="170"/>
      <c r="B89" s="170"/>
      <c r="C89" s="173"/>
      <c r="D89" s="170"/>
      <c r="E89" s="170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0"/>
      <c r="X89" s="170"/>
      <c r="Y89" s="170"/>
      <c r="Z89" s="170"/>
    </row>
    <row r="90" ht="12.75" customHeight="1">
      <c r="A90" s="170"/>
      <c r="B90" s="170"/>
      <c r="C90" s="173"/>
      <c r="D90" s="170"/>
      <c r="E90" s="170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0"/>
      <c r="X90" s="170"/>
      <c r="Y90" s="170"/>
      <c r="Z90" s="170"/>
    </row>
    <row r="91" ht="12.75" customHeight="1">
      <c r="A91" s="170"/>
      <c r="B91" s="170"/>
      <c r="C91" s="173"/>
      <c r="D91" s="170"/>
      <c r="E91" s="170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0"/>
      <c r="X91" s="170"/>
      <c r="Y91" s="170"/>
      <c r="Z91" s="170"/>
    </row>
    <row r="92" ht="12.75" customHeight="1">
      <c r="A92" s="170"/>
      <c r="B92" s="170"/>
      <c r="C92" s="173"/>
      <c r="D92" s="170"/>
      <c r="E92" s="170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0"/>
      <c r="X92" s="170"/>
      <c r="Y92" s="170"/>
      <c r="Z92" s="170"/>
    </row>
    <row r="93" ht="12.75" customHeight="1">
      <c r="A93" s="170"/>
      <c r="B93" s="170"/>
      <c r="C93" s="173"/>
      <c r="D93" s="170"/>
      <c r="E93" s="170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0"/>
      <c r="X93" s="170"/>
      <c r="Y93" s="170"/>
      <c r="Z93" s="170"/>
    </row>
    <row r="94" ht="12.75" customHeight="1">
      <c r="A94" s="170"/>
      <c r="B94" s="170"/>
      <c r="C94" s="173"/>
      <c r="D94" s="170"/>
      <c r="E94" s="170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0"/>
      <c r="X94" s="170"/>
      <c r="Y94" s="170"/>
      <c r="Z94" s="170"/>
    </row>
    <row r="95" ht="12.75" customHeight="1">
      <c r="A95" s="170"/>
      <c r="B95" s="170"/>
      <c r="C95" s="173"/>
      <c r="D95" s="170"/>
      <c r="E95" s="170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0"/>
      <c r="X95" s="170"/>
      <c r="Y95" s="170"/>
      <c r="Z95" s="170"/>
    </row>
    <row r="96" ht="12.75" customHeight="1">
      <c r="A96" s="170"/>
      <c r="B96" s="170"/>
      <c r="C96" s="173"/>
      <c r="D96" s="170"/>
      <c r="E96" s="170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0"/>
      <c r="X96" s="170"/>
      <c r="Y96" s="170"/>
      <c r="Z96" s="170"/>
    </row>
    <row r="97" ht="12.75" customHeight="1">
      <c r="A97" s="170"/>
      <c r="B97" s="170"/>
      <c r="C97" s="173"/>
      <c r="D97" s="170"/>
      <c r="E97" s="170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0"/>
      <c r="X97" s="170"/>
      <c r="Y97" s="170"/>
      <c r="Z97" s="170"/>
    </row>
    <row r="98" ht="12.75" customHeight="1">
      <c r="A98" s="170"/>
      <c r="B98" s="170"/>
      <c r="C98" s="173"/>
      <c r="D98" s="170"/>
      <c r="E98" s="170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0"/>
      <c r="X98" s="170"/>
      <c r="Y98" s="170"/>
      <c r="Z98" s="170"/>
    </row>
    <row r="99" ht="12.75" customHeight="1">
      <c r="A99" s="170"/>
      <c r="B99" s="170"/>
      <c r="C99" s="173"/>
      <c r="D99" s="170"/>
      <c r="E99" s="170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0"/>
      <c r="X99" s="170"/>
      <c r="Y99" s="170"/>
      <c r="Z99" s="170"/>
    </row>
    <row r="100" ht="12.75" customHeight="1">
      <c r="A100" s="170"/>
      <c r="B100" s="170"/>
      <c r="C100" s="173"/>
      <c r="D100" s="170"/>
      <c r="E100" s="170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0"/>
      <c r="X100" s="170"/>
      <c r="Y100" s="170"/>
      <c r="Z100" s="170"/>
    </row>
    <row r="101" ht="12.75" customHeight="1">
      <c r="A101" s="170"/>
      <c r="B101" s="170"/>
      <c r="C101" s="173"/>
      <c r="D101" s="170"/>
      <c r="E101" s="170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0"/>
      <c r="X101" s="170"/>
      <c r="Y101" s="170"/>
      <c r="Z101" s="170"/>
    </row>
    <row r="102" ht="12.75" customHeight="1">
      <c r="A102" s="170"/>
      <c r="B102" s="170"/>
      <c r="C102" s="173"/>
      <c r="D102" s="170"/>
      <c r="E102" s="170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0"/>
      <c r="X102" s="170"/>
      <c r="Y102" s="170"/>
      <c r="Z102" s="170"/>
    </row>
    <row r="103" ht="12.75" customHeight="1">
      <c r="A103" s="170"/>
      <c r="B103" s="170"/>
      <c r="C103" s="173"/>
      <c r="D103" s="170"/>
      <c r="E103" s="170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0"/>
      <c r="X103" s="170"/>
      <c r="Y103" s="170"/>
      <c r="Z103" s="170"/>
    </row>
    <row r="104" ht="12.75" customHeight="1">
      <c r="A104" s="170"/>
      <c r="B104" s="170"/>
      <c r="C104" s="173"/>
      <c r="D104" s="170"/>
      <c r="E104" s="170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0"/>
      <c r="X104" s="170"/>
      <c r="Y104" s="170"/>
      <c r="Z104" s="170"/>
    </row>
    <row r="105" ht="12.75" customHeight="1">
      <c r="A105" s="170"/>
      <c r="B105" s="170"/>
      <c r="C105" s="173"/>
      <c r="D105" s="170"/>
      <c r="E105" s="170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0"/>
      <c r="X105" s="170"/>
      <c r="Y105" s="170"/>
      <c r="Z105" s="170"/>
    </row>
    <row r="106" ht="12.75" customHeight="1">
      <c r="A106" s="170"/>
      <c r="B106" s="170"/>
      <c r="C106" s="173"/>
      <c r="D106" s="170"/>
      <c r="E106" s="170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0"/>
      <c r="X106" s="170"/>
      <c r="Y106" s="170"/>
      <c r="Z106" s="170"/>
    </row>
    <row r="107" ht="12.75" customHeight="1">
      <c r="A107" s="170"/>
      <c r="B107" s="170"/>
      <c r="C107" s="173"/>
      <c r="D107" s="170"/>
      <c r="E107" s="170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0"/>
      <c r="X107" s="170"/>
      <c r="Y107" s="170"/>
      <c r="Z107" s="170"/>
    </row>
    <row r="108" ht="12.75" customHeight="1">
      <c r="A108" s="170"/>
      <c r="B108" s="170"/>
      <c r="C108" s="173"/>
      <c r="D108" s="170"/>
      <c r="E108" s="170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0"/>
      <c r="X108" s="170"/>
      <c r="Y108" s="170"/>
      <c r="Z108" s="170"/>
    </row>
    <row r="109" ht="12.75" customHeight="1">
      <c r="A109" s="170"/>
      <c r="B109" s="170"/>
      <c r="C109" s="173"/>
      <c r="D109" s="170"/>
      <c r="E109" s="170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0"/>
      <c r="X109" s="170"/>
      <c r="Y109" s="170"/>
      <c r="Z109" s="170"/>
    </row>
    <row r="110" ht="12.75" customHeight="1">
      <c r="A110" s="170"/>
      <c r="B110" s="170"/>
      <c r="C110" s="173"/>
      <c r="D110" s="170"/>
      <c r="E110" s="170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0"/>
      <c r="X110" s="170"/>
      <c r="Y110" s="170"/>
      <c r="Z110" s="170"/>
    </row>
    <row r="111" ht="12.75" customHeight="1">
      <c r="A111" s="170"/>
      <c r="B111" s="170"/>
      <c r="C111" s="173"/>
      <c r="D111" s="170"/>
      <c r="E111" s="170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0"/>
      <c r="X111" s="170"/>
      <c r="Y111" s="170"/>
      <c r="Z111" s="170"/>
    </row>
    <row r="112" ht="12.75" customHeight="1">
      <c r="A112" s="170"/>
      <c r="B112" s="170"/>
      <c r="C112" s="173"/>
      <c r="D112" s="170"/>
      <c r="E112" s="170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0"/>
      <c r="X112" s="170"/>
      <c r="Y112" s="170"/>
      <c r="Z112" s="170"/>
    </row>
    <row r="113" ht="12.75" customHeight="1">
      <c r="A113" s="170"/>
      <c r="B113" s="170"/>
      <c r="C113" s="173"/>
      <c r="D113" s="170"/>
      <c r="E113" s="170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0"/>
      <c r="X113" s="170"/>
      <c r="Y113" s="170"/>
      <c r="Z113" s="170"/>
    </row>
    <row r="114" ht="12.75" customHeight="1">
      <c r="A114" s="170"/>
      <c r="B114" s="170"/>
      <c r="C114" s="173"/>
      <c r="D114" s="170"/>
      <c r="E114" s="170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0"/>
      <c r="X114" s="170"/>
      <c r="Y114" s="170"/>
      <c r="Z114" s="170"/>
    </row>
    <row r="115" ht="12.75" customHeight="1">
      <c r="A115" s="170"/>
      <c r="B115" s="170"/>
      <c r="C115" s="173"/>
      <c r="D115" s="170"/>
      <c r="E115" s="170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0"/>
      <c r="X115" s="170"/>
      <c r="Y115" s="170"/>
      <c r="Z115" s="170"/>
    </row>
    <row r="116" ht="12.75" customHeight="1">
      <c r="A116" s="170"/>
      <c r="B116" s="170"/>
      <c r="C116" s="173"/>
      <c r="D116" s="170"/>
      <c r="E116" s="170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0"/>
      <c r="X116" s="170"/>
      <c r="Y116" s="170"/>
      <c r="Z116" s="170"/>
    </row>
    <row r="117" ht="12.75" customHeight="1">
      <c r="A117" s="170"/>
      <c r="B117" s="170"/>
      <c r="C117" s="173"/>
      <c r="D117" s="170"/>
      <c r="E117" s="170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0"/>
      <c r="X117" s="170"/>
      <c r="Y117" s="170"/>
      <c r="Z117" s="170"/>
    </row>
    <row r="118" ht="12.75" customHeight="1">
      <c r="A118" s="170"/>
      <c r="B118" s="170"/>
      <c r="C118" s="173"/>
      <c r="D118" s="170"/>
      <c r="E118" s="170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0"/>
      <c r="X118" s="170"/>
      <c r="Y118" s="170"/>
      <c r="Z118" s="170"/>
    </row>
    <row r="119" ht="12.75" customHeight="1">
      <c r="A119" s="170"/>
      <c r="B119" s="170"/>
      <c r="C119" s="173"/>
      <c r="D119" s="170"/>
      <c r="E119" s="170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0"/>
      <c r="X119" s="170"/>
      <c r="Y119" s="170"/>
      <c r="Z119" s="170"/>
    </row>
    <row r="120" ht="12.75" customHeight="1">
      <c r="A120" s="170"/>
      <c r="B120" s="170"/>
      <c r="C120" s="173"/>
      <c r="D120" s="170"/>
      <c r="E120" s="170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0"/>
      <c r="X120" s="170"/>
      <c r="Y120" s="170"/>
      <c r="Z120" s="170"/>
    </row>
    <row r="121" ht="12.75" customHeight="1">
      <c r="A121" s="170"/>
      <c r="B121" s="170"/>
      <c r="C121" s="173"/>
      <c r="D121" s="170"/>
      <c r="E121" s="170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0"/>
      <c r="X121" s="170"/>
      <c r="Y121" s="170"/>
      <c r="Z121" s="170"/>
    </row>
    <row r="122" ht="12.75" customHeight="1">
      <c r="A122" s="170"/>
      <c r="B122" s="170"/>
      <c r="C122" s="173"/>
      <c r="D122" s="170"/>
      <c r="E122" s="170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0"/>
      <c r="X122" s="170"/>
      <c r="Y122" s="170"/>
      <c r="Z122" s="170"/>
    </row>
    <row r="123" ht="12.75" customHeight="1">
      <c r="A123" s="170"/>
      <c r="B123" s="170"/>
      <c r="C123" s="173"/>
      <c r="D123" s="170"/>
      <c r="E123" s="170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0"/>
      <c r="X123" s="170"/>
      <c r="Y123" s="170"/>
      <c r="Z123" s="170"/>
    </row>
    <row r="124" ht="12.75" customHeight="1">
      <c r="A124" s="170"/>
      <c r="B124" s="170"/>
      <c r="C124" s="173"/>
      <c r="D124" s="170"/>
      <c r="E124" s="170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0"/>
      <c r="X124" s="170"/>
      <c r="Y124" s="170"/>
      <c r="Z124" s="170"/>
    </row>
    <row r="125" ht="12.75" customHeight="1">
      <c r="A125" s="170"/>
      <c r="B125" s="170"/>
      <c r="C125" s="173"/>
      <c r="D125" s="170"/>
      <c r="E125" s="170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0"/>
      <c r="X125" s="170"/>
      <c r="Y125" s="170"/>
      <c r="Z125" s="170"/>
    </row>
    <row r="126" ht="12.75" customHeight="1">
      <c r="A126" s="170"/>
      <c r="B126" s="170"/>
      <c r="C126" s="173"/>
      <c r="D126" s="170"/>
      <c r="E126" s="170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0"/>
      <c r="X126" s="170"/>
      <c r="Y126" s="170"/>
      <c r="Z126" s="170"/>
    </row>
    <row r="127" ht="12.75" customHeight="1">
      <c r="A127" s="170"/>
      <c r="B127" s="170"/>
      <c r="C127" s="173"/>
      <c r="D127" s="170"/>
      <c r="E127" s="170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0"/>
      <c r="X127" s="170"/>
      <c r="Y127" s="170"/>
      <c r="Z127" s="170"/>
    </row>
    <row r="128" ht="12.75" customHeight="1">
      <c r="A128" s="170"/>
      <c r="B128" s="170"/>
      <c r="C128" s="173"/>
      <c r="D128" s="170"/>
      <c r="E128" s="170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0"/>
      <c r="X128" s="170"/>
      <c r="Y128" s="170"/>
      <c r="Z128" s="170"/>
    </row>
    <row r="129" ht="12.75" customHeight="1">
      <c r="A129" s="170"/>
      <c r="B129" s="170"/>
      <c r="C129" s="173"/>
      <c r="D129" s="170"/>
      <c r="E129" s="170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0"/>
      <c r="X129" s="170"/>
      <c r="Y129" s="170"/>
      <c r="Z129" s="170"/>
    </row>
    <row r="130" ht="12.75" customHeight="1">
      <c r="A130" s="170"/>
      <c r="B130" s="170"/>
      <c r="C130" s="173"/>
      <c r="D130" s="170"/>
      <c r="E130" s="170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0"/>
      <c r="X130" s="170"/>
      <c r="Y130" s="170"/>
      <c r="Z130" s="170"/>
    </row>
    <row r="131" ht="12.75" customHeight="1">
      <c r="A131" s="170"/>
      <c r="B131" s="170"/>
      <c r="C131" s="173"/>
      <c r="D131" s="170"/>
      <c r="E131" s="170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0"/>
      <c r="X131" s="170"/>
      <c r="Y131" s="170"/>
      <c r="Z131" s="170"/>
    </row>
    <row r="132" ht="12.75" customHeight="1">
      <c r="A132" s="170"/>
      <c r="B132" s="170"/>
      <c r="C132" s="173"/>
      <c r="D132" s="170"/>
      <c r="E132" s="170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0"/>
      <c r="X132" s="170"/>
      <c r="Y132" s="170"/>
      <c r="Z132" s="170"/>
    </row>
    <row r="133" ht="12.75" customHeight="1">
      <c r="A133" s="170"/>
      <c r="B133" s="170"/>
      <c r="C133" s="173"/>
      <c r="D133" s="170"/>
      <c r="E133" s="170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0"/>
      <c r="X133" s="170"/>
      <c r="Y133" s="170"/>
      <c r="Z133" s="170"/>
    </row>
    <row r="134" ht="12.75" customHeight="1">
      <c r="A134" s="170"/>
      <c r="B134" s="170"/>
      <c r="C134" s="173"/>
      <c r="D134" s="170"/>
      <c r="E134" s="170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0"/>
      <c r="X134" s="170"/>
      <c r="Y134" s="170"/>
      <c r="Z134" s="170"/>
    </row>
    <row r="135" ht="12.75" customHeight="1">
      <c r="A135" s="170"/>
      <c r="B135" s="170"/>
      <c r="C135" s="173"/>
      <c r="D135" s="170"/>
      <c r="E135" s="170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0"/>
      <c r="X135" s="170"/>
      <c r="Y135" s="170"/>
      <c r="Z135" s="170"/>
    </row>
    <row r="136" ht="12.75" customHeight="1">
      <c r="A136" s="170"/>
      <c r="B136" s="170"/>
      <c r="C136" s="173"/>
      <c r="D136" s="170"/>
      <c r="E136" s="170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0"/>
      <c r="X136" s="170"/>
      <c r="Y136" s="170"/>
      <c r="Z136" s="170"/>
    </row>
    <row r="137" ht="12.75" customHeight="1">
      <c r="A137" s="170"/>
      <c r="B137" s="170"/>
      <c r="C137" s="173"/>
      <c r="D137" s="170"/>
      <c r="E137" s="170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0"/>
      <c r="X137" s="170"/>
      <c r="Y137" s="170"/>
      <c r="Z137" s="170"/>
    </row>
    <row r="138" ht="12.75" customHeight="1">
      <c r="A138" s="170"/>
      <c r="B138" s="170"/>
      <c r="C138" s="173"/>
      <c r="D138" s="170"/>
      <c r="E138" s="170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0"/>
      <c r="X138" s="170"/>
      <c r="Y138" s="170"/>
      <c r="Z138" s="170"/>
    </row>
    <row r="139" ht="12.75" customHeight="1">
      <c r="A139" s="170"/>
      <c r="B139" s="170"/>
      <c r="C139" s="173"/>
      <c r="D139" s="170"/>
      <c r="E139" s="170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0"/>
      <c r="X139" s="170"/>
      <c r="Y139" s="170"/>
      <c r="Z139" s="170"/>
    </row>
    <row r="140" ht="12.75" customHeight="1">
      <c r="A140" s="170"/>
      <c r="B140" s="170"/>
      <c r="C140" s="173"/>
      <c r="D140" s="170"/>
      <c r="E140" s="170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0"/>
      <c r="X140" s="170"/>
      <c r="Y140" s="170"/>
      <c r="Z140" s="170"/>
    </row>
    <row r="141" ht="12.75" customHeight="1">
      <c r="A141" s="170"/>
      <c r="B141" s="170"/>
      <c r="C141" s="173"/>
      <c r="D141" s="170"/>
      <c r="E141" s="170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0"/>
      <c r="X141" s="170"/>
      <c r="Y141" s="170"/>
      <c r="Z141" s="170"/>
    </row>
    <row r="142" ht="12.75" customHeight="1">
      <c r="A142" s="170"/>
      <c r="B142" s="170"/>
      <c r="C142" s="173"/>
      <c r="D142" s="170"/>
      <c r="E142" s="170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0"/>
      <c r="X142" s="170"/>
      <c r="Y142" s="170"/>
      <c r="Z142" s="170"/>
    </row>
    <row r="143" ht="12.75" customHeight="1">
      <c r="A143" s="170"/>
      <c r="B143" s="170"/>
      <c r="C143" s="173"/>
      <c r="D143" s="170"/>
      <c r="E143" s="170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0"/>
      <c r="X143" s="170"/>
      <c r="Y143" s="170"/>
      <c r="Z143" s="170"/>
    </row>
    <row r="144" ht="12.75" customHeight="1">
      <c r="A144" s="170"/>
      <c r="B144" s="170"/>
      <c r="C144" s="173"/>
      <c r="D144" s="170"/>
      <c r="E144" s="170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0"/>
      <c r="X144" s="170"/>
      <c r="Y144" s="170"/>
      <c r="Z144" s="170"/>
    </row>
    <row r="145" ht="12.75" customHeight="1">
      <c r="A145" s="170"/>
      <c r="B145" s="170"/>
      <c r="C145" s="173"/>
      <c r="D145" s="170"/>
      <c r="E145" s="170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0"/>
      <c r="X145" s="170"/>
      <c r="Y145" s="170"/>
      <c r="Z145" s="170"/>
    </row>
    <row r="146" ht="12.75" customHeight="1">
      <c r="A146" s="170"/>
      <c r="B146" s="170"/>
      <c r="C146" s="173"/>
      <c r="D146" s="170"/>
      <c r="E146" s="170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0"/>
      <c r="X146" s="170"/>
      <c r="Y146" s="170"/>
      <c r="Z146" s="170"/>
    </row>
    <row r="147" ht="12.75" customHeight="1">
      <c r="A147" s="170"/>
      <c r="B147" s="170"/>
      <c r="C147" s="173"/>
      <c r="D147" s="170"/>
      <c r="E147" s="170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0"/>
      <c r="X147" s="170"/>
      <c r="Y147" s="170"/>
      <c r="Z147" s="170"/>
    </row>
    <row r="148" ht="12.75" customHeight="1">
      <c r="A148" s="170"/>
      <c r="B148" s="170"/>
      <c r="C148" s="173"/>
      <c r="D148" s="170"/>
      <c r="E148" s="170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0"/>
      <c r="X148" s="170"/>
      <c r="Y148" s="170"/>
      <c r="Z148" s="170"/>
    </row>
    <row r="149" ht="12.75" customHeight="1">
      <c r="A149" s="170"/>
      <c r="B149" s="170"/>
      <c r="C149" s="173"/>
      <c r="D149" s="170"/>
      <c r="E149" s="170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0"/>
      <c r="X149" s="170"/>
      <c r="Y149" s="170"/>
      <c r="Z149" s="170"/>
    </row>
    <row r="150" ht="12.75" customHeight="1">
      <c r="A150" s="170"/>
      <c r="B150" s="170"/>
      <c r="C150" s="173"/>
      <c r="D150" s="170"/>
      <c r="E150" s="170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0"/>
      <c r="X150" s="170"/>
      <c r="Y150" s="170"/>
      <c r="Z150" s="170"/>
    </row>
    <row r="151" ht="12.75" customHeight="1">
      <c r="A151" s="170"/>
      <c r="B151" s="170"/>
      <c r="C151" s="173"/>
      <c r="D151" s="170"/>
      <c r="E151" s="170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0"/>
      <c r="X151" s="170"/>
      <c r="Y151" s="170"/>
      <c r="Z151" s="170"/>
    </row>
    <row r="152" ht="12.75" customHeight="1">
      <c r="A152" s="170"/>
      <c r="B152" s="170"/>
      <c r="C152" s="173"/>
      <c r="D152" s="170"/>
      <c r="E152" s="170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0"/>
      <c r="X152" s="170"/>
      <c r="Y152" s="170"/>
      <c r="Z152" s="170"/>
    </row>
    <row r="153" ht="12.75" customHeight="1">
      <c r="A153" s="170"/>
      <c r="B153" s="170"/>
      <c r="C153" s="173"/>
      <c r="D153" s="170"/>
      <c r="E153" s="170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0"/>
      <c r="X153" s="170"/>
      <c r="Y153" s="170"/>
      <c r="Z153" s="170"/>
    </row>
    <row r="154" ht="12.75" customHeight="1">
      <c r="A154" s="170"/>
      <c r="B154" s="170"/>
      <c r="C154" s="173"/>
      <c r="D154" s="170"/>
      <c r="E154" s="170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0"/>
      <c r="X154" s="170"/>
      <c r="Y154" s="170"/>
      <c r="Z154" s="170"/>
    </row>
    <row r="155" ht="12.75" customHeight="1">
      <c r="A155" s="170"/>
      <c r="B155" s="170"/>
      <c r="C155" s="173"/>
      <c r="D155" s="170"/>
      <c r="E155" s="170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0"/>
      <c r="X155" s="170"/>
      <c r="Y155" s="170"/>
      <c r="Z155" s="170"/>
    </row>
    <row r="156" ht="12.75" customHeight="1">
      <c r="A156" s="170"/>
      <c r="B156" s="170"/>
      <c r="C156" s="173"/>
      <c r="D156" s="170"/>
      <c r="E156" s="170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0"/>
      <c r="X156" s="170"/>
      <c r="Y156" s="170"/>
      <c r="Z156" s="170"/>
    </row>
    <row r="157" ht="12.75" customHeight="1">
      <c r="A157" s="170"/>
      <c r="B157" s="170"/>
      <c r="C157" s="173"/>
      <c r="D157" s="170"/>
      <c r="E157" s="170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0"/>
      <c r="X157" s="170"/>
      <c r="Y157" s="170"/>
      <c r="Z157" s="170"/>
    </row>
    <row r="158" ht="12.75" customHeight="1">
      <c r="A158" s="170"/>
      <c r="B158" s="170"/>
      <c r="C158" s="173"/>
      <c r="D158" s="170"/>
      <c r="E158" s="170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0"/>
      <c r="X158" s="170"/>
      <c r="Y158" s="170"/>
      <c r="Z158" s="170"/>
    </row>
    <row r="159" ht="12.75" customHeight="1">
      <c r="A159" s="170"/>
      <c r="B159" s="170"/>
      <c r="C159" s="173"/>
      <c r="D159" s="170"/>
      <c r="E159" s="170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0"/>
      <c r="X159" s="170"/>
      <c r="Y159" s="170"/>
      <c r="Z159" s="170"/>
    </row>
    <row r="160" ht="12.75" customHeight="1">
      <c r="A160" s="170"/>
      <c r="B160" s="170"/>
      <c r="C160" s="173"/>
      <c r="D160" s="170"/>
      <c r="E160" s="170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0"/>
      <c r="X160" s="170"/>
      <c r="Y160" s="170"/>
      <c r="Z160" s="170"/>
    </row>
    <row r="161" ht="12.75" customHeight="1">
      <c r="A161" s="170"/>
      <c r="B161" s="170"/>
      <c r="C161" s="173"/>
      <c r="D161" s="170"/>
      <c r="E161" s="170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0"/>
      <c r="X161" s="170"/>
      <c r="Y161" s="170"/>
      <c r="Z161" s="170"/>
    </row>
    <row r="162" ht="12.75" customHeight="1">
      <c r="A162" s="170"/>
      <c r="B162" s="170"/>
      <c r="C162" s="173"/>
      <c r="D162" s="170"/>
      <c r="E162" s="170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0"/>
      <c r="X162" s="170"/>
      <c r="Y162" s="170"/>
      <c r="Z162" s="170"/>
    </row>
    <row r="163" ht="12.75" customHeight="1">
      <c r="A163" s="170"/>
      <c r="B163" s="170"/>
      <c r="C163" s="173"/>
      <c r="D163" s="170"/>
      <c r="E163" s="170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0"/>
      <c r="X163" s="170"/>
      <c r="Y163" s="170"/>
      <c r="Z163" s="170"/>
    </row>
    <row r="164" ht="12.75" customHeight="1">
      <c r="A164" s="170"/>
      <c r="B164" s="170"/>
      <c r="C164" s="173"/>
      <c r="D164" s="170"/>
      <c r="E164" s="170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0"/>
      <c r="X164" s="170"/>
      <c r="Y164" s="170"/>
      <c r="Z164" s="170"/>
    </row>
    <row r="165" ht="12.75" customHeight="1">
      <c r="A165" s="170"/>
      <c r="B165" s="170"/>
      <c r="C165" s="173"/>
      <c r="D165" s="170"/>
      <c r="E165" s="170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0"/>
      <c r="X165" s="170"/>
      <c r="Y165" s="170"/>
      <c r="Z165" s="170"/>
    </row>
    <row r="166" ht="12.75" customHeight="1">
      <c r="A166" s="170"/>
      <c r="B166" s="170"/>
      <c r="C166" s="173"/>
      <c r="D166" s="170"/>
      <c r="E166" s="170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0"/>
      <c r="X166" s="170"/>
      <c r="Y166" s="170"/>
      <c r="Z166" s="170"/>
    </row>
    <row r="167" ht="12.75" customHeight="1">
      <c r="A167" s="170"/>
      <c r="B167" s="170"/>
      <c r="C167" s="173"/>
      <c r="D167" s="170"/>
      <c r="E167" s="170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0"/>
      <c r="X167" s="170"/>
      <c r="Y167" s="170"/>
      <c r="Z167" s="170"/>
    </row>
    <row r="168" ht="12.75" customHeight="1">
      <c r="A168" s="170"/>
      <c r="B168" s="170"/>
      <c r="C168" s="173"/>
      <c r="D168" s="170"/>
      <c r="E168" s="170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0"/>
      <c r="X168" s="170"/>
      <c r="Y168" s="170"/>
      <c r="Z168" s="170"/>
    </row>
    <row r="169" ht="12.75" customHeight="1">
      <c r="A169" s="170"/>
      <c r="B169" s="170"/>
      <c r="C169" s="173"/>
      <c r="D169" s="170"/>
      <c r="E169" s="170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0"/>
      <c r="X169" s="170"/>
      <c r="Y169" s="170"/>
      <c r="Z169" s="170"/>
    </row>
    <row r="170" ht="12.75" customHeight="1">
      <c r="A170" s="170"/>
      <c r="B170" s="170"/>
      <c r="C170" s="173"/>
      <c r="D170" s="170"/>
      <c r="E170" s="170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0"/>
      <c r="X170" s="170"/>
      <c r="Y170" s="170"/>
      <c r="Z170" s="170"/>
    </row>
    <row r="171" ht="12.75" customHeight="1">
      <c r="A171" s="170"/>
      <c r="B171" s="170"/>
      <c r="C171" s="173"/>
      <c r="D171" s="170"/>
      <c r="E171" s="170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0"/>
      <c r="X171" s="170"/>
      <c r="Y171" s="170"/>
      <c r="Z171" s="170"/>
    </row>
    <row r="172" ht="12.75" customHeight="1">
      <c r="A172" s="170"/>
      <c r="B172" s="170"/>
      <c r="C172" s="173"/>
      <c r="D172" s="170"/>
      <c r="E172" s="170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0"/>
      <c r="X172" s="170"/>
      <c r="Y172" s="170"/>
      <c r="Z172" s="170"/>
    </row>
    <row r="173" ht="12.75" customHeight="1">
      <c r="A173" s="170"/>
      <c r="B173" s="170"/>
      <c r="C173" s="173"/>
      <c r="D173" s="170"/>
      <c r="E173" s="170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0"/>
      <c r="X173" s="170"/>
      <c r="Y173" s="170"/>
      <c r="Z173" s="170"/>
    </row>
    <row r="174" ht="12.75" customHeight="1">
      <c r="A174" s="170"/>
      <c r="B174" s="170"/>
      <c r="C174" s="173"/>
      <c r="D174" s="170"/>
      <c r="E174" s="170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0"/>
      <c r="X174" s="170"/>
      <c r="Y174" s="170"/>
      <c r="Z174" s="170"/>
    </row>
    <row r="175" ht="12.75" customHeight="1">
      <c r="A175" s="170"/>
      <c r="B175" s="170"/>
      <c r="C175" s="173"/>
      <c r="D175" s="170"/>
      <c r="E175" s="170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0"/>
      <c r="X175" s="170"/>
      <c r="Y175" s="170"/>
      <c r="Z175" s="170"/>
    </row>
    <row r="176" ht="12.75" customHeight="1">
      <c r="A176" s="170"/>
      <c r="B176" s="170"/>
      <c r="C176" s="173"/>
      <c r="D176" s="170"/>
      <c r="E176" s="170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0"/>
      <c r="X176" s="170"/>
      <c r="Y176" s="170"/>
      <c r="Z176" s="170"/>
    </row>
    <row r="177" ht="12.75" customHeight="1">
      <c r="A177" s="170"/>
      <c r="B177" s="170"/>
      <c r="C177" s="173"/>
      <c r="D177" s="170"/>
      <c r="E177" s="170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0"/>
      <c r="X177" s="170"/>
      <c r="Y177" s="170"/>
      <c r="Z177" s="170"/>
    </row>
    <row r="178" ht="12.75" customHeight="1">
      <c r="A178" s="170"/>
      <c r="B178" s="170"/>
      <c r="C178" s="173"/>
      <c r="D178" s="170"/>
      <c r="E178" s="170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0"/>
      <c r="X178" s="170"/>
      <c r="Y178" s="170"/>
      <c r="Z178" s="170"/>
    </row>
    <row r="179" ht="12.75" customHeight="1">
      <c r="A179" s="170"/>
      <c r="B179" s="170"/>
      <c r="C179" s="173"/>
      <c r="D179" s="170"/>
      <c r="E179" s="170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0"/>
      <c r="X179" s="170"/>
      <c r="Y179" s="170"/>
      <c r="Z179" s="170"/>
    </row>
    <row r="180" ht="12.75" customHeight="1">
      <c r="A180" s="170"/>
      <c r="B180" s="170"/>
      <c r="C180" s="173"/>
      <c r="D180" s="170"/>
      <c r="E180" s="170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0"/>
      <c r="X180" s="170"/>
      <c r="Y180" s="170"/>
      <c r="Z180" s="170"/>
    </row>
    <row r="181" ht="12.75" customHeight="1">
      <c r="A181" s="170"/>
      <c r="B181" s="170"/>
      <c r="C181" s="173"/>
      <c r="D181" s="170"/>
      <c r="E181" s="170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0"/>
      <c r="X181" s="170"/>
      <c r="Y181" s="170"/>
      <c r="Z181" s="170"/>
    </row>
    <row r="182" ht="12.75" customHeight="1">
      <c r="A182" s="170"/>
      <c r="B182" s="170"/>
      <c r="C182" s="173"/>
      <c r="D182" s="170"/>
      <c r="E182" s="170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0"/>
      <c r="X182" s="170"/>
      <c r="Y182" s="170"/>
      <c r="Z182" s="170"/>
    </row>
    <row r="183" ht="12.75" customHeight="1">
      <c r="A183" s="170"/>
      <c r="B183" s="170"/>
      <c r="C183" s="173"/>
      <c r="D183" s="170"/>
      <c r="E183" s="170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0"/>
      <c r="X183" s="170"/>
      <c r="Y183" s="170"/>
      <c r="Z183" s="170"/>
    </row>
    <row r="184" ht="12.75" customHeight="1">
      <c r="A184" s="170"/>
      <c r="B184" s="170"/>
      <c r="C184" s="173"/>
      <c r="D184" s="170"/>
      <c r="E184" s="170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0"/>
      <c r="X184" s="170"/>
      <c r="Y184" s="170"/>
      <c r="Z184" s="170"/>
    </row>
    <row r="185" ht="12.75" customHeight="1">
      <c r="A185" s="170"/>
      <c r="B185" s="170"/>
      <c r="C185" s="173"/>
      <c r="D185" s="170"/>
      <c r="E185" s="170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0"/>
      <c r="X185" s="170"/>
      <c r="Y185" s="170"/>
      <c r="Z185" s="170"/>
    </row>
    <row r="186" ht="12.75" customHeight="1">
      <c r="A186" s="170"/>
      <c r="B186" s="170"/>
      <c r="C186" s="173"/>
      <c r="D186" s="170"/>
      <c r="E186" s="170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0"/>
      <c r="X186" s="170"/>
      <c r="Y186" s="170"/>
      <c r="Z186" s="170"/>
    </row>
    <row r="187" ht="12.75" customHeight="1">
      <c r="A187" s="170"/>
      <c r="B187" s="170"/>
      <c r="C187" s="173"/>
      <c r="D187" s="170"/>
      <c r="E187" s="170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0"/>
      <c r="X187" s="170"/>
      <c r="Y187" s="170"/>
      <c r="Z187" s="170"/>
    </row>
    <row r="188" ht="12.75" customHeight="1">
      <c r="A188" s="170"/>
      <c r="B188" s="170"/>
      <c r="C188" s="173"/>
      <c r="D188" s="170"/>
      <c r="E188" s="170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0"/>
      <c r="X188" s="170"/>
      <c r="Y188" s="170"/>
      <c r="Z188" s="170"/>
    </row>
    <row r="189" ht="12.75" customHeight="1">
      <c r="A189" s="170"/>
      <c r="B189" s="170"/>
      <c r="C189" s="173"/>
      <c r="D189" s="170"/>
      <c r="E189" s="170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0"/>
      <c r="X189" s="170"/>
      <c r="Y189" s="170"/>
      <c r="Z189" s="170"/>
    </row>
    <row r="190" ht="12.75" customHeight="1">
      <c r="A190" s="170"/>
      <c r="B190" s="170"/>
      <c r="C190" s="173"/>
      <c r="D190" s="170"/>
      <c r="E190" s="170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0"/>
      <c r="X190" s="170"/>
      <c r="Y190" s="170"/>
      <c r="Z190" s="170"/>
    </row>
    <row r="191" ht="12.75" customHeight="1">
      <c r="A191" s="170"/>
      <c r="B191" s="170"/>
      <c r="C191" s="173"/>
      <c r="D191" s="170"/>
      <c r="E191" s="170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0"/>
      <c r="X191" s="170"/>
      <c r="Y191" s="170"/>
      <c r="Z191" s="170"/>
    </row>
    <row r="192" ht="12.75" customHeight="1">
      <c r="A192" s="170"/>
      <c r="B192" s="170"/>
      <c r="C192" s="173"/>
      <c r="D192" s="170"/>
      <c r="E192" s="170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0"/>
      <c r="X192" s="170"/>
      <c r="Y192" s="170"/>
      <c r="Z192" s="170"/>
    </row>
    <row r="193" ht="12.75" customHeight="1">
      <c r="A193" s="170"/>
      <c r="B193" s="170"/>
      <c r="C193" s="173"/>
      <c r="D193" s="170"/>
      <c r="E193" s="170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0"/>
      <c r="X193" s="170"/>
      <c r="Y193" s="170"/>
      <c r="Z193" s="170"/>
    </row>
    <row r="194" ht="12.75" customHeight="1">
      <c r="A194" s="170"/>
      <c r="B194" s="170"/>
      <c r="C194" s="173"/>
      <c r="D194" s="170"/>
      <c r="E194" s="170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0"/>
      <c r="X194" s="170"/>
      <c r="Y194" s="170"/>
      <c r="Z194" s="170"/>
    </row>
    <row r="195" ht="12.75" customHeight="1">
      <c r="A195" s="170"/>
      <c r="B195" s="170"/>
      <c r="C195" s="173"/>
      <c r="D195" s="170"/>
      <c r="E195" s="170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0"/>
      <c r="X195" s="170"/>
      <c r="Y195" s="170"/>
      <c r="Z195" s="170"/>
    </row>
    <row r="196" ht="12.75" customHeight="1">
      <c r="A196" s="170"/>
      <c r="B196" s="170"/>
      <c r="C196" s="173"/>
      <c r="D196" s="170"/>
      <c r="E196" s="170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0"/>
      <c r="X196" s="170"/>
      <c r="Y196" s="170"/>
      <c r="Z196" s="170"/>
    </row>
    <row r="197" ht="12.75" customHeight="1">
      <c r="A197" s="170"/>
      <c r="B197" s="170"/>
      <c r="C197" s="173"/>
      <c r="D197" s="170"/>
      <c r="E197" s="170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0"/>
      <c r="X197" s="170"/>
      <c r="Y197" s="170"/>
      <c r="Z197" s="170"/>
    </row>
    <row r="198" ht="12.75" customHeight="1">
      <c r="A198" s="170"/>
      <c r="B198" s="170"/>
      <c r="C198" s="173"/>
      <c r="D198" s="170"/>
      <c r="E198" s="170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0"/>
      <c r="X198" s="170"/>
      <c r="Y198" s="170"/>
      <c r="Z198" s="170"/>
    </row>
    <row r="199" ht="12.75" customHeight="1">
      <c r="A199" s="170"/>
      <c r="B199" s="170"/>
      <c r="C199" s="173"/>
      <c r="D199" s="170"/>
      <c r="E199" s="170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0"/>
      <c r="X199" s="170"/>
      <c r="Y199" s="170"/>
      <c r="Z199" s="170"/>
    </row>
    <row r="200" ht="12.75" customHeight="1">
      <c r="A200" s="170"/>
      <c r="B200" s="170"/>
      <c r="C200" s="173"/>
      <c r="D200" s="170"/>
      <c r="E200" s="170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0"/>
      <c r="X200" s="170"/>
      <c r="Y200" s="170"/>
      <c r="Z200" s="170"/>
    </row>
    <row r="201" ht="12.75" customHeight="1">
      <c r="A201" s="170"/>
      <c r="B201" s="170"/>
      <c r="C201" s="173"/>
      <c r="D201" s="170"/>
      <c r="E201" s="170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0"/>
      <c r="X201" s="170"/>
      <c r="Y201" s="170"/>
      <c r="Z201" s="170"/>
    </row>
    <row r="202" ht="12.75" customHeight="1">
      <c r="A202" s="170"/>
      <c r="B202" s="170"/>
      <c r="C202" s="173"/>
      <c r="D202" s="170"/>
      <c r="E202" s="170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0"/>
      <c r="X202" s="170"/>
      <c r="Y202" s="170"/>
      <c r="Z202" s="170"/>
    </row>
    <row r="203" ht="12.75" customHeight="1">
      <c r="A203" s="170"/>
      <c r="B203" s="170"/>
      <c r="C203" s="173"/>
      <c r="D203" s="170"/>
      <c r="E203" s="170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0"/>
      <c r="X203" s="170"/>
      <c r="Y203" s="170"/>
      <c r="Z203" s="170"/>
    </row>
    <row r="204" ht="12.75" customHeight="1">
      <c r="A204" s="170"/>
      <c r="B204" s="170"/>
      <c r="C204" s="173"/>
      <c r="D204" s="170"/>
      <c r="E204" s="170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0"/>
      <c r="X204" s="170"/>
      <c r="Y204" s="170"/>
      <c r="Z204" s="170"/>
    </row>
    <row r="205" ht="12.75" customHeight="1">
      <c r="A205" s="170"/>
      <c r="B205" s="170"/>
      <c r="C205" s="173"/>
      <c r="D205" s="170"/>
      <c r="E205" s="170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0"/>
      <c r="X205" s="170"/>
      <c r="Y205" s="170"/>
      <c r="Z205" s="170"/>
    </row>
    <row r="206" ht="12.75" customHeight="1">
      <c r="A206" s="170"/>
      <c r="B206" s="170"/>
      <c r="C206" s="173"/>
      <c r="D206" s="170"/>
      <c r="E206" s="170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0"/>
      <c r="X206" s="170"/>
      <c r="Y206" s="170"/>
      <c r="Z206" s="170"/>
    </row>
    <row r="207" ht="12.75" customHeight="1">
      <c r="A207" s="170"/>
      <c r="B207" s="170"/>
      <c r="C207" s="173"/>
      <c r="D207" s="170"/>
      <c r="E207" s="170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0"/>
      <c r="X207" s="170"/>
      <c r="Y207" s="170"/>
      <c r="Z207" s="170"/>
    </row>
    <row r="208" ht="12.75" customHeight="1">
      <c r="A208" s="170"/>
      <c r="B208" s="170"/>
      <c r="C208" s="173"/>
      <c r="D208" s="170"/>
      <c r="E208" s="170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0"/>
      <c r="X208" s="170"/>
      <c r="Y208" s="170"/>
      <c r="Z208" s="170"/>
    </row>
    <row r="209" ht="12.75" customHeight="1">
      <c r="A209" s="170"/>
      <c r="B209" s="170"/>
      <c r="C209" s="173"/>
      <c r="D209" s="170"/>
      <c r="E209" s="170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0"/>
      <c r="X209" s="170"/>
      <c r="Y209" s="170"/>
      <c r="Z209" s="170"/>
    </row>
    <row r="210" ht="12.75" customHeight="1">
      <c r="A210" s="170"/>
      <c r="B210" s="170"/>
      <c r="C210" s="173"/>
      <c r="D210" s="170"/>
      <c r="E210" s="170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0"/>
      <c r="X210" s="170"/>
      <c r="Y210" s="170"/>
      <c r="Z210" s="170"/>
    </row>
    <row r="211" ht="12.75" customHeight="1">
      <c r="A211" s="170"/>
      <c r="B211" s="170"/>
      <c r="C211" s="173"/>
      <c r="D211" s="170"/>
      <c r="E211" s="170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0"/>
      <c r="X211" s="170"/>
      <c r="Y211" s="170"/>
      <c r="Z211" s="170"/>
    </row>
    <row r="212" ht="12.75" customHeight="1">
      <c r="A212" s="170"/>
      <c r="B212" s="170"/>
      <c r="C212" s="173"/>
      <c r="D212" s="170"/>
      <c r="E212" s="170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0"/>
      <c r="X212" s="170"/>
      <c r="Y212" s="170"/>
      <c r="Z212" s="170"/>
    </row>
    <row r="213" ht="12.75" customHeight="1">
      <c r="A213" s="170"/>
      <c r="B213" s="170"/>
      <c r="C213" s="173"/>
      <c r="D213" s="170"/>
      <c r="E213" s="170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0"/>
      <c r="X213" s="170"/>
      <c r="Y213" s="170"/>
      <c r="Z213" s="170"/>
    </row>
    <row r="214" ht="12.75" customHeight="1">
      <c r="A214" s="170"/>
      <c r="B214" s="170"/>
      <c r="C214" s="173"/>
      <c r="D214" s="170"/>
      <c r="E214" s="170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0"/>
      <c r="X214" s="170"/>
      <c r="Y214" s="170"/>
      <c r="Z214" s="170"/>
    </row>
    <row r="215" ht="12.75" customHeight="1">
      <c r="A215" s="170"/>
      <c r="B215" s="170"/>
      <c r="C215" s="173"/>
      <c r="D215" s="170"/>
      <c r="E215" s="170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0"/>
      <c r="X215" s="170"/>
      <c r="Y215" s="170"/>
      <c r="Z215" s="170"/>
    </row>
    <row r="216" ht="12.75" customHeight="1">
      <c r="A216" s="170"/>
      <c r="B216" s="170"/>
      <c r="C216" s="173"/>
      <c r="D216" s="170"/>
      <c r="E216" s="170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0"/>
      <c r="X216" s="170"/>
      <c r="Y216" s="170"/>
      <c r="Z216" s="170"/>
    </row>
    <row r="217" ht="12.75" customHeight="1">
      <c r="A217" s="170"/>
      <c r="B217" s="170"/>
      <c r="C217" s="173"/>
      <c r="D217" s="170"/>
      <c r="E217" s="170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0"/>
      <c r="X217" s="170"/>
      <c r="Y217" s="170"/>
      <c r="Z217" s="170"/>
    </row>
    <row r="218" ht="12.75" customHeight="1">
      <c r="A218" s="170"/>
      <c r="B218" s="170"/>
      <c r="C218" s="173"/>
      <c r="D218" s="170"/>
      <c r="E218" s="170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0"/>
      <c r="X218" s="170"/>
      <c r="Y218" s="170"/>
      <c r="Z218" s="170"/>
    </row>
    <row r="219" ht="12.75" customHeight="1">
      <c r="A219" s="170"/>
      <c r="B219" s="170"/>
      <c r="C219" s="173"/>
      <c r="D219" s="170"/>
      <c r="E219" s="170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0"/>
      <c r="X219" s="170"/>
      <c r="Y219" s="170"/>
      <c r="Z219" s="170"/>
    </row>
    <row r="220" ht="12.75" customHeight="1">
      <c r="A220" s="170"/>
      <c r="B220" s="170"/>
      <c r="C220" s="173"/>
      <c r="D220" s="170"/>
      <c r="E220" s="170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0"/>
      <c r="X220" s="170"/>
      <c r="Y220" s="170"/>
      <c r="Z220" s="170"/>
    </row>
    <row r="221" ht="12.75" customHeight="1">
      <c r="A221" s="170"/>
      <c r="B221" s="170"/>
      <c r="C221" s="173"/>
      <c r="D221" s="170"/>
      <c r="E221" s="170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0"/>
      <c r="X221" s="170"/>
      <c r="Y221" s="170"/>
      <c r="Z221" s="170"/>
    </row>
    <row r="222" ht="12.75" customHeight="1">
      <c r="A222" s="170"/>
      <c r="B222" s="170"/>
      <c r="C222" s="173"/>
      <c r="D222" s="170"/>
      <c r="E222" s="170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0"/>
      <c r="X222" s="170"/>
      <c r="Y222" s="170"/>
      <c r="Z222" s="170"/>
    </row>
    <row r="223" ht="12.75" customHeight="1">
      <c r="A223" s="170"/>
      <c r="B223" s="170"/>
      <c r="C223" s="173"/>
      <c r="D223" s="170"/>
      <c r="E223" s="170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0"/>
      <c r="X223" s="170"/>
      <c r="Y223" s="170"/>
      <c r="Z223" s="170"/>
    </row>
    <row r="224" ht="12.75" customHeight="1">
      <c r="A224" s="170"/>
      <c r="B224" s="170"/>
      <c r="C224" s="173"/>
      <c r="D224" s="170"/>
      <c r="E224" s="170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0"/>
      <c r="X224" s="170"/>
      <c r="Y224" s="170"/>
      <c r="Z224" s="170"/>
    </row>
    <row r="225" ht="12.75" customHeight="1">
      <c r="A225" s="170"/>
      <c r="B225" s="170"/>
      <c r="C225" s="173"/>
      <c r="D225" s="170"/>
      <c r="E225" s="170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0"/>
      <c r="X225" s="170"/>
      <c r="Y225" s="170"/>
      <c r="Z225" s="170"/>
    </row>
    <row r="226" ht="12.75" customHeight="1">
      <c r="A226" s="170"/>
      <c r="B226" s="170"/>
      <c r="C226" s="173"/>
      <c r="D226" s="170"/>
      <c r="E226" s="170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0"/>
      <c r="X226" s="170"/>
      <c r="Y226" s="170"/>
      <c r="Z226" s="170"/>
    </row>
    <row r="227" ht="12.75" customHeight="1">
      <c r="A227" s="170"/>
      <c r="B227" s="170"/>
      <c r="C227" s="173"/>
      <c r="D227" s="170"/>
      <c r="E227" s="170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0"/>
      <c r="X227" s="170"/>
      <c r="Y227" s="170"/>
      <c r="Z227" s="170"/>
    </row>
    <row r="228" ht="12.75" customHeight="1">
      <c r="A228" s="170"/>
      <c r="B228" s="170"/>
      <c r="C228" s="173"/>
      <c r="D228" s="170"/>
      <c r="E228" s="170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0"/>
      <c r="X228" s="170"/>
      <c r="Y228" s="170"/>
      <c r="Z228" s="170"/>
    </row>
    <row r="229" ht="12.75" customHeight="1">
      <c r="A229" s="170"/>
      <c r="B229" s="170"/>
      <c r="C229" s="173"/>
      <c r="D229" s="170"/>
      <c r="E229" s="170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0"/>
      <c r="X229" s="170"/>
      <c r="Y229" s="170"/>
      <c r="Z229" s="17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2">
    <mergeCell ref="D15:E15"/>
    <mergeCell ref="D16:E16"/>
  </mergeCells>
  <dataValidations>
    <dataValidation type="list" allowBlank="1" sqref="E3:E13">
      <formula1>"Planned,Ongoing,Done"</formula1>
    </dataValidation>
    <dataValidation type="list" allowBlank="1" showErrorMessage="1" sqref="E18:E30">
      <formula1>"Planeado,En Marcha,Listo"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0"/>
    <col customWidth="1" min="2" max="2" width="34.22"/>
    <col customWidth="1" min="3" max="3" width="7.11"/>
    <col customWidth="1" min="4" max="4" width="10.44"/>
    <col customWidth="1" min="5" max="5" width="6.89"/>
    <col customWidth="1" min="6" max="6" width="7.22"/>
    <col customWidth="1" min="7" max="22" width="3.89"/>
    <col customWidth="1" min="23" max="23" width="9.22"/>
    <col customWidth="1" min="24" max="26" width="8.0"/>
  </cols>
  <sheetData>
    <row r="1" ht="17.25" customHeight="1">
      <c r="A1" s="170"/>
      <c r="B1" s="171">
        <v>3.0</v>
      </c>
      <c r="C1" s="172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2.75" customHeight="1">
      <c r="A2" s="170"/>
      <c r="B2" s="170"/>
      <c r="C2" s="173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2.75" customHeight="1">
      <c r="A3" s="170"/>
      <c r="B3" s="170"/>
      <c r="C3" s="173"/>
      <c r="D3" s="170"/>
      <c r="E3" s="170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0"/>
      <c r="X3" s="170"/>
      <c r="Y3" s="170"/>
      <c r="Z3" s="170"/>
    </row>
    <row r="4" ht="12.75" customHeight="1">
      <c r="A4" s="170"/>
      <c r="B4" s="170"/>
      <c r="C4" s="173"/>
      <c r="D4" s="170"/>
      <c r="E4" s="170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0"/>
      <c r="X4" s="170"/>
      <c r="Y4" s="170"/>
      <c r="Z4" s="170"/>
    </row>
    <row r="5" ht="12.75" customHeight="1">
      <c r="A5" s="170"/>
      <c r="B5" s="170"/>
      <c r="C5" s="173"/>
      <c r="D5" s="170"/>
      <c r="E5" s="170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0"/>
      <c r="X5" s="170"/>
      <c r="Y5" s="170"/>
      <c r="Z5" s="170"/>
    </row>
    <row r="6" ht="12.75" customHeight="1">
      <c r="A6" s="170"/>
      <c r="B6" s="170"/>
      <c r="C6" s="173"/>
      <c r="D6" s="170"/>
      <c r="E6" s="170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0"/>
      <c r="X6" s="170"/>
      <c r="Y6" s="170"/>
      <c r="Z6" s="170"/>
    </row>
    <row r="7" ht="12.75" customHeight="1">
      <c r="A7" s="170"/>
      <c r="B7" s="170"/>
      <c r="C7" s="173"/>
      <c r="D7" s="170"/>
      <c r="E7" s="170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0"/>
      <c r="X7" s="170"/>
      <c r="Y7" s="170"/>
      <c r="Z7" s="170"/>
    </row>
    <row r="8" ht="12.75" customHeight="1">
      <c r="A8" s="170"/>
      <c r="B8" s="170"/>
      <c r="C8" s="173"/>
      <c r="D8" s="170"/>
      <c r="E8" s="170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0"/>
      <c r="X8" s="170"/>
      <c r="Y8" s="170"/>
      <c r="Z8" s="170"/>
    </row>
    <row r="9" ht="12.75" customHeight="1">
      <c r="A9" s="170"/>
      <c r="B9" s="170"/>
      <c r="C9" s="173"/>
      <c r="D9" s="170"/>
      <c r="E9" s="170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0"/>
      <c r="X9" s="170"/>
      <c r="Y9" s="170"/>
      <c r="Z9" s="170"/>
    </row>
    <row r="10" ht="12.75" customHeight="1">
      <c r="A10" s="170"/>
      <c r="B10" s="170"/>
      <c r="C10" s="173"/>
      <c r="D10" s="170"/>
      <c r="E10" s="170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0"/>
      <c r="X10" s="170"/>
      <c r="Y10" s="170"/>
      <c r="Z10" s="170"/>
    </row>
    <row r="11" ht="12.75" customHeight="1">
      <c r="A11" s="170"/>
      <c r="B11" s="170"/>
      <c r="C11" s="173"/>
      <c r="D11" s="170"/>
      <c r="E11" s="170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0"/>
      <c r="X11" s="170"/>
      <c r="Y11" s="170"/>
      <c r="Z11" s="170"/>
    </row>
    <row r="12" ht="12.75" customHeight="1">
      <c r="A12" s="170"/>
      <c r="B12" s="170"/>
      <c r="C12" s="173"/>
      <c r="D12" s="170"/>
      <c r="E12" s="170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0"/>
      <c r="X12" s="170"/>
      <c r="Y12" s="170"/>
      <c r="Z12" s="170"/>
    </row>
    <row r="13" ht="12.75" customHeight="1">
      <c r="A13" s="170"/>
      <c r="B13" s="170"/>
      <c r="C13" s="173"/>
      <c r="D13" s="170"/>
      <c r="E13" s="170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0"/>
      <c r="X13" s="170"/>
      <c r="Y13" s="170"/>
      <c r="Z13" s="170"/>
    </row>
    <row r="14" ht="12.75" customHeight="1">
      <c r="A14" s="170"/>
      <c r="B14" s="174" t="s">
        <v>298</v>
      </c>
      <c r="C14" s="175">
        <v>10.0</v>
      </c>
      <c r="D14" s="174" t="s">
        <v>299</v>
      </c>
      <c r="E14" s="174" t="s">
        <v>300</v>
      </c>
      <c r="F14" s="176" t="s">
        <v>170</v>
      </c>
      <c r="G14" s="174" t="s">
        <v>301</v>
      </c>
      <c r="H14" s="177"/>
      <c r="I14" s="177"/>
      <c r="J14" s="177"/>
      <c r="K14" s="177"/>
      <c r="L14" s="177"/>
      <c r="M14" s="177"/>
      <c r="N14" s="177"/>
      <c r="O14" s="192"/>
      <c r="P14" s="192"/>
      <c r="Q14" s="192"/>
      <c r="R14" s="192"/>
      <c r="S14" s="192"/>
      <c r="T14" s="192"/>
      <c r="U14" s="192"/>
      <c r="V14" s="192"/>
      <c r="W14" s="170"/>
      <c r="X14" s="170"/>
      <c r="Y14" s="170"/>
      <c r="Z14" s="170"/>
    </row>
    <row r="15" ht="15.75" customHeight="1">
      <c r="A15" s="178"/>
      <c r="B15" s="178"/>
      <c r="C15" s="178"/>
      <c r="D15" s="179" t="s">
        <v>302</v>
      </c>
      <c r="F15" s="182">
        <f>SUM(F18:F30)</f>
        <v>67</v>
      </c>
      <c r="G15" s="182">
        <f>'Sp2'!TaskRows-SUM(G18:G23)</f>
        <v>58</v>
      </c>
      <c r="H15" s="182">
        <f t="shared" ref="H15:V15" si="1">G15-SUM(H18:H23)</f>
        <v>48</v>
      </c>
      <c r="I15" s="182">
        <f t="shared" si="1"/>
        <v>40</v>
      </c>
      <c r="J15" s="182">
        <f t="shared" si="1"/>
        <v>35</v>
      </c>
      <c r="K15" s="182">
        <f t="shared" si="1"/>
        <v>35</v>
      </c>
      <c r="L15" s="182">
        <f t="shared" si="1"/>
        <v>35</v>
      </c>
      <c r="M15" s="182">
        <f t="shared" si="1"/>
        <v>35</v>
      </c>
      <c r="N15" s="182">
        <f t="shared" si="1"/>
        <v>35</v>
      </c>
      <c r="O15" s="182">
        <f t="shared" si="1"/>
        <v>35</v>
      </c>
      <c r="P15" s="182">
        <f t="shared" si="1"/>
        <v>35</v>
      </c>
      <c r="Q15" s="182">
        <f t="shared" si="1"/>
        <v>35</v>
      </c>
      <c r="R15" s="182">
        <f t="shared" si="1"/>
        <v>35</v>
      </c>
      <c r="S15" s="182">
        <f t="shared" si="1"/>
        <v>35</v>
      </c>
      <c r="T15" s="182">
        <f t="shared" si="1"/>
        <v>35</v>
      </c>
      <c r="U15" s="182">
        <f t="shared" si="1"/>
        <v>35</v>
      </c>
      <c r="V15" s="182">
        <f t="shared" si="1"/>
        <v>35</v>
      </c>
      <c r="W15" s="178"/>
      <c r="X15" s="178"/>
      <c r="Y15" s="178"/>
      <c r="Z15" s="178"/>
    </row>
    <row r="16" ht="15.75" customHeight="1">
      <c r="A16" s="178"/>
      <c r="B16" s="178"/>
      <c r="C16" s="178"/>
      <c r="D16" s="180" t="s">
        <v>303</v>
      </c>
      <c r="F16" s="193">
        <f>SUM(F18:F31)</f>
        <v>79</v>
      </c>
      <c r="G16" s="182">
        <f>F16-(SUM($F$18:$F$31)/'Sp2'!ImplementationDays)</f>
        <v>71.1</v>
      </c>
      <c r="H16" s="182">
        <f>G16-(SUM($F$18:$F$31)/'Sp2'!ImplementationDays)</f>
        <v>63.2</v>
      </c>
      <c r="I16" s="182">
        <f>H16-(SUM($F$18:$F$31)/'Sp2'!ImplementationDays)</f>
        <v>55.3</v>
      </c>
      <c r="J16" s="182">
        <f>I16-(SUM($F$18:$F$31)/'Sp2'!ImplementationDays)</f>
        <v>47.4</v>
      </c>
      <c r="K16" s="182">
        <f>J16-(SUM($F$18:$F$31)/'Sp2'!ImplementationDays)</f>
        <v>39.5</v>
      </c>
      <c r="L16" s="182">
        <f>K16-(SUM($F$18:$F$31)/'Sp2'!ImplementationDays)</f>
        <v>31.6</v>
      </c>
      <c r="M16" s="182">
        <f>L16-(SUM($F$18:$F$31)/'Sp2'!ImplementationDays)</f>
        <v>23.7</v>
      </c>
      <c r="N16" s="182">
        <f>M16-(SUM($F$18:$F$31)/'Sp2'!ImplementationDays)</f>
        <v>15.8</v>
      </c>
      <c r="O16" s="182">
        <f>N16-(SUM($F$18:$F$31)/'Sp2'!ImplementationDays)</f>
        <v>7.9</v>
      </c>
      <c r="P16" s="182">
        <f>O16-(SUM($F$18:$F$31)/'Sp2'!ImplementationDays)</f>
        <v>0</v>
      </c>
      <c r="Q16" s="182">
        <f>P16-(SUM($F$18:$F$31)/'Sp2'!ImplementationDays)</f>
        <v>-7.9</v>
      </c>
      <c r="R16" s="182">
        <f>Q16-(SUM($F$18:$F$31)/'Sp2'!ImplementationDays)</f>
        <v>-15.8</v>
      </c>
      <c r="S16" s="182">
        <f>R16-(SUM($F$18:$F$31)/'Sp2'!ImplementationDays)</f>
        <v>-23.7</v>
      </c>
      <c r="T16" s="182">
        <f>S16-(SUM($F$18:$F$31)/'Sp2'!ImplementationDays)</f>
        <v>-31.6</v>
      </c>
      <c r="U16" s="182">
        <f>T16-(SUM($F$18:$F$31)/'Sp2'!ImplementationDays)</f>
        <v>-39.5</v>
      </c>
      <c r="V16" s="182">
        <f>U16-(SUM($F$18:$F$31)/'Sp2'!ImplementationDays)</f>
        <v>-47.4</v>
      </c>
      <c r="W16" s="178"/>
      <c r="X16" s="178"/>
      <c r="Y16" s="178"/>
      <c r="Z16" s="178"/>
    </row>
    <row r="17" ht="12.75" customHeight="1">
      <c r="A17" s="170"/>
      <c r="B17" s="194" t="s">
        <v>310</v>
      </c>
      <c r="C17" s="184" t="s">
        <v>305</v>
      </c>
      <c r="D17" s="183" t="s">
        <v>306</v>
      </c>
      <c r="E17" s="183" t="s">
        <v>307</v>
      </c>
      <c r="F17" s="184" t="s">
        <v>308</v>
      </c>
      <c r="G17" s="184">
        <v>1.0</v>
      </c>
      <c r="H17" s="184">
        <f t="shared" ref="H17:V17" si="2">IF($C$14&gt;G17,G17+1,"")</f>
        <v>2</v>
      </c>
      <c r="I17" s="184">
        <f t="shared" si="2"/>
        <v>3</v>
      </c>
      <c r="J17" s="184">
        <f t="shared" si="2"/>
        <v>4</v>
      </c>
      <c r="K17" s="184">
        <f t="shared" si="2"/>
        <v>5</v>
      </c>
      <c r="L17" s="184">
        <f t="shared" si="2"/>
        <v>6</v>
      </c>
      <c r="M17" s="184">
        <f t="shared" si="2"/>
        <v>7</v>
      </c>
      <c r="N17" s="184">
        <f t="shared" si="2"/>
        <v>8</v>
      </c>
      <c r="O17" s="184">
        <f t="shared" si="2"/>
        <v>9</v>
      </c>
      <c r="P17" s="184">
        <f t="shared" si="2"/>
        <v>10</v>
      </c>
      <c r="Q17" s="184" t="str">
        <f t="shared" si="2"/>
        <v/>
      </c>
      <c r="R17" s="184" t="str">
        <f t="shared" si="2"/>
        <v/>
      </c>
      <c r="S17" s="184" t="str">
        <f t="shared" si="2"/>
        <v/>
      </c>
      <c r="T17" s="184" t="str">
        <f t="shared" si="2"/>
        <v/>
      </c>
      <c r="U17" s="184" t="str">
        <f t="shared" si="2"/>
        <v/>
      </c>
      <c r="V17" s="184" t="str">
        <f t="shared" si="2"/>
        <v/>
      </c>
      <c r="W17" s="185" t="s">
        <v>309</v>
      </c>
      <c r="X17" s="170"/>
      <c r="Y17" s="170"/>
      <c r="Z17" s="170"/>
    </row>
    <row r="18" ht="28.5" customHeight="1">
      <c r="A18" s="170"/>
      <c r="B18" s="186" t="s">
        <v>191</v>
      </c>
      <c r="C18" s="191" t="s">
        <v>61</v>
      </c>
      <c r="D18" s="191" t="s">
        <v>156</v>
      </c>
      <c r="E18" s="195" t="s">
        <v>274</v>
      </c>
      <c r="F18" s="189">
        <v>5.0</v>
      </c>
      <c r="G18" s="191">
        <v>5.0</v>
      </c>
      <c r="H18" s="191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6"/>
      <c r="U18" s="196"/>
      <c r="V18" s="196"/>
      <c r="W18" s="195">
        <f t="shared" ref="W18:W31" si="3">SUM(G18:V18)</f>
        <v>5</v>
      </c>
      <c r="X18" s="170"/>
      <c r="Y18" s="170"/>
      <c r="Z18" s="170"/>
    </row>
    <row r="19" ht="29.25" customHeight="1">
      <c r="A19" s="170"/>
      <c r="B19" s="186" t="s">
        <v>192</v>
      </c>
      <c r="C19" s="191" t="s">
        <v>61</v>
      </c>
      <c r="D19" s="191" t="s">
        <v>156</v>
      </c>
      <c r="E19" s="195" t="s">
        <v>274</v>
      </c>
      <c r="F19" s="189">
        <v>5.0</v>
      </c>
      <c r="G19" s="191"/>
      <c r="H19" s="191">
        <v>5.0</v>
      </c>
      <c r="I19" s="191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6"/>
      <c r="U19" s="196"/>
      <c r="V19" s="196"/>
      <c r="W19" s="195">
        <f t="shared" si="3"/>
        <v>5</v>
      </c>
      <c r="X19" s="170"/>
      <c r="Y19" s="170"/>
      <c r="Z19" s="170"/>
    </row>
    <row r="20" ht="31.5" customHeight="1">
      <c r="A20" s="170"/>
      <c r="B20" s="186" t="s">
        <v>193</v>
      </c>
      <c r="C20" s="191" t="s">
        <v>61</v>
      </c>
      <c r="D20" s="191" t="s">
        <v>156</v>
      </c>
      <c r="E20" s="195" t="s">
        <v>274</v>
      </c>
      <c r="F20" s="189">
        <v>5.0</v>
      </c>
      <c r="G20" s="191"/>
      <c r="H20" s="191"/>
      <c r="I20" s="191"/>
      <c r="J20" s="191">
        <v>5.0</v>
      </c>
      <c r="K20" s="190"/>
      <c r="L20" s="190"/>
      <c r="M20" s="190"/>
      <c r="N20" s="190"/>
      <c r="O20" s="190"/>
      <c r="P20" s="190"/>
      <c r="Q20" s="190"/>
      <c r="R20" s="190"/>
      <c r="S20" s="190"/>
      <c r="T20" s="196"/>
      <c r="U20" s="196"/>
      <c r="V20" s="196"/>
      <c r="W20" s="195">
        <f t="shared" si="3"/>
        <v>5</v>
      </c>
      <c r="X20" s="170"/>
      <c r="Y20" s="170"/>
      <c r="Z20" s="170"/>
    </row>
    <row r="21" ht="28.5" customHeight="1">
      <c r="A21" s="170"/>
      <c r="B21" s="186" t="s">
        <v>194</v>
      </c>
      <c r="C21" s="191" t="s">
        <v>65</v>
      </c>
      <c r="D21" s="191" t="s">
        <v>158</v>
      </c>
      <c r="E21" s="195" t="s">
        <v>274</v>
      </c>
      <c r="F21" s="189">
        <v>4.0</v>
      </c>
      <c r="G21" s="191">
        <v>4.0</v>
      </c>
      <c r="H21" s="191"/>
      <c r="I21" s="191"/>
      <c r="J21" s="191"/>
      <c r="K21" s="190"/>
      <c r="L21" s="190"/>
      <c r="M21" s="190"/>
      <c r="N21" s="190"/>
      <c r="O21" s="190"/>
      <c r="P21" s="190"/>
      <c r="Q21" s="190"/>
      <c r="R21" s="190"/>
      <c r="S21" s="190"/>
      <c r="T21" s="196"/>
      <c r="U21" s="196"/>
      <c r="V21" s="196"/>
      <c r="W21" s="195">
        <f t="shared" si="3"/>
        <v>4</v>
      </c>
      <c r="X21" s="170"/>
      <c r="Y21" s="170"/>
      <c r="Z21" s="170"/>
    </row>
    <row r="22" ht="25.5" customHeight="1">
      <c r="A22" s="170"/>
      <c r="B22" s="186" t="s">
        <v>195</v>
      </c>
      <c r="C22" s="191" t="s">
        <v>65</v>
      </c>
      <c r="D22" s="191" t="s">
        <v>158</v>
      </c>
      <c r="E22" s="195" t="s">
        <v>274</v>
      </c>
      <c r="F22" s="189">
        <v>5.0</v>
      </c>
      <c r="G22" s="190"/>
      <c r="H22" s="191">
        <v>5.0</v>
      </c>
      <c r="I22" s="191"/>
      <c r="J22" s="191"/>
      <c r="K22" s="191"/>
      <c r="L22" s="190"/>
      <c r="M22" s="190"/>
      <c r="N22" s="190"/>
      <c r="O22" s="190"/>
      <c r="P22" s="190"/>
      <c r="Q22" s="190"/>
      <c r="R22" s="190"/>
      <c r="S22" s="190"/>
      <c r="T22" s="196"/>
      <c r="U22" s="196"/>
      <c r="V22" s="196"/>
      <c r="W22" s="195">
        <f t="shared" si="3"/>
        <v>5</v>
      </c>
      <c r="X22" s="170"/>
      <c r="Y22" s="170"/>
      <c r="Z22" s="170"/>
    </row>
    <row r="23" ht="26.25" customHeight="1">
      <c r="A23" s="170"/>
      <c r="B23" s="186" t="s">
        <v>196</v>
      </c>
      <c r="C23" s="191" t="s">
        <v>65</v>
      </c>
      <c r="D23" s="191" t="s">
        <v>158</v>
      </c>
      <c r="E23" s="195" t="s">
        <v>274</v>
      </c>
      <c r="F23" s="189">
        <v>8.0</v>
      </c>
      <c r="G23" s="190"/>
      <c r="H23" s="191"/>
      <c r="I23" s="191">
        <v>8.0</v>
      </c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6"/>
      <c r="U23" s="196"/>
      <c r="V23" s="196"/>
      <c r="W23" s="195">
        <f t="shared" si="3"/>
        <v>8</v>
      </c>
      <c r="X23" s="170"/>
      <c r="Y23" s="170"/>
      <c r="Z23" s="170"/>
    </row>
    <row r="24" ht="21.0" customHeight="1">
      <c r="A24" s="170"/>
      <c r="B24" s="186" t="s">
        <v>197</v>
      </c>
      <c r="C24" s="188" t="s">
        <v>311</v>
      </c>
      <c r="D24" s="188" t="s">
        <v>157</v>
      </c>
      <c r="E24" s="197" t="s">
        <v>274</v>
      </c>
      <c r="F24" s="198">
        <v>3.0</v>
      </c>
      <c r="G24" s="196"/>
      <c r="H24" s="197"/>
      <c r="I24" s="197"/>
      <c r="J24" s="197">
        <v>3.0</v>
      </c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5">
        <f t="shared" si="3"/>
        <v>3</v>
      </c>
      <c r="X24" s="170"/>
      <c r="Y24" s="170"/>
      <c r="Z24" s="170"/>
    </row>
    <row r="25" ht="21.0" customHeight="1">
      <c r="A25" s="170"/>
      <c r="B25" s="186" t="s">
        <v>198</v>
      </c>
      <c r="C25" s="191" t="s">
        <v>311</v>
      </c>
      <c r="D25" s="191" t="s">
        <v>157</v>
      </c>
      <c r="E25" s="199" t="s">
        <v>274</v>
      </c>
      <c r="F25" s="198">
        <v>3.0</v>
      </c>
      <c r="G25" s="190"/>
      <c r="H25" s="191"/>
      <c r="I25" s="191"/>
      <c r="J25" s="191"/>
      <c r="K25" s="191">
        <v>3.0</v>
      </c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5">
        <f t="shared" si="3"/>
        <v>3</v>
      </c>
      <c r="X25" s="170"/>
      <c r="Y25" s="170"/>
      <c r="Z25" s="170"/>
    </row>
    <row r="26" ht="21.0" customHeight="1">
      <c r="A26" s="170"/>
      <c r="B26" s="186" t="s">
        <v>199</v>
      </c>
      <c r="C26" s="191" t="s">
        <v>311</v>
      </c>
      <c r="D26" s="191" t="s">
        <v>157</v>
      </c>
      <c r="E26" s="199" t="s">
        <v>274</v>
      </c>
      <c r="F26" s="198">
        <v>3.0</v>
      </c>
      <c r="G26" s="190"/>
      <c r="H26" s="191"/>
      <c r="I26" s="190"/>
      <c r="J26" s="191"/>
      <c r="K26" s="190"/>
      <c r="L26" s="191">
        <v>3.0</v>
      </c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5">
        <f t="shared" si="3"/>
        <v>3</v>
      </c>
      <c r="X26" s="170"/>
      <c r="Y26" s="170"/>
      <c r="Z26" s="170"/>
    </row>
    <row r="27" ht="26.25" customHeight="1">
      <c r="A27" s="170"/>
      <c r="B27" s="200" t="s">
        <v>200</v>
      </c>
      <c r="C27" s="191" t="s">
        <v>312</v>
      </c>
      <c r="D27" s="191" t="s">
        <v>159</v>
      </c>
      <c r="E27" s="199" t="s">
        <v>274</v>
      </c>
      <c r="F27" s="198">
        <v>8.0</v>
      </c>
      <c r="G27" s="190"/>
      <c r="H27" s="190"/>
      <c r="I27" s="191"/>
      <c r="J27" s="191"/>
      <c r="K27" s="191"/>
      <c r="L27" s="190"/>
      <c r="M27" s="191">
        <v>8.0</v>
      </c>
      <c r="N27" s="190"/>
      <c r="O27" s="190"/>
      <c r="P27" s="190"/>
      <c r="Q27" s="190"/>
      <c r="R27" s="190"/>
      <c r="S27" s="190"/>
      <c r="T27" s="190"/>
      <c r="U27" s="190"/>
      <c r="V27" s="190"/>
      <c r="W27" s="195">
        <f t="shared" si="3"/>
        <v>8</v>
      </c>
      <c r="X27" s="170"/>
      <c r="Y27" s="170"/>
      <c r="Z27" s="170"/>
    </row>
    <row r="28" ht="26.25" customHeight="1">
      <c r="A28" s="170"/>
      <c r="B28" s="200" t="s">
        <v>201</v>
      </c>
      <c r="C28" s="191" t="s">
        <v>312</v>
      </c>
      <c r="D28" s="191" t="s">
        <v>159</v>
      </c>
      <c r="E28" s="199" t="s">
        <v>274</v>
      </c>
      <c r="F28" s="198">
        <v>5.0</v>
      </c>
      <c r="G28" s="191"/>
      <c r="H28" s="190"/>
      <c r="I28" s="191"/>
      <c r="J28" s="191"/>
      <c r="K28" s="190"/>
      <c r="L28" s="191"/>
      <c r="M28" s="190"/>
      <c r="N28" s="191">
        <v>5.0</v>
      </c>
      <c r="O28" s="190"/>
      <c r="P28" s="190"/>
      <c r="Q28" s="190"/>
      <c r="R28" s="190"/>
      <c r="S28" s="190"/>
      <c r="T28" s="190"/>
      <c r="U28" s="190"/>
      <c r="V28" s="190"/>
      <c r="W28" s="195">
        <f t="shared" si="3"/>
        <v>5</v>
      </c>
      <c r="X28" s="170"/>
      <c r="Y28" s="170"/>
      <c r="Z28" s="170"/>
    </row>
    <row r="29" ht="25.5" customHeight="1">
      <c r="A29" s="173"/>
      <c r="B29" s="200" t="s">
        <v>202</v>
      </c>
      <c r="C29" s="191" t="s">
        <v>312</v>
      </c>
      <c r="D29" s="191" t="s">
        <v>159</v>
      </c>
      <c r="E29" s="199" t="s">
        <v>274</v>
      </c>
      <c r="F29" s="198">
        <v>5.0</v>
      </c>
      <c r="G29" s="190"/>
      <c r="H29" s="191"/>
      <c r="I29" s="190"/>
      <c r="J29" s="191"/>
      <c r="K29" s="190"/>
      <c r="L29" s="190"/>
      <c r="M29" s="191"/>
      <c r="N29" s="190"/>
      <c r="O29" s="191">
        <v>5.0</v>
      </c>
      <c r="P29" s="190"/>
      <c r="Q29" s="190"/>
      <c r="R29" s="190"/>
      <c r="S29" s="190"/>
      <c r="T29" s="190"/>
      <c r="U29" s="190"/>
      <c r="V29" s="190"/>
      <c r="W29" s="195">
        <f t="shared" si="3"/>
        <v>5</v>
      </c>
      <c r="X29" s="173"/>
      <c r="Y29" s="173"/>
      <c r="Z29" s="173"/>
    </row>
    <row r="30" ht="21.0" customHeight="1">
      <c r="A30" s="173"/>
      <c r="B30" s="200" t="s">
        <v>203</v>
      </c>
      <c r="C30" s="191" t="s">
        <v>313</v>
      </c>
      <c r="D30" s="191" t="s">
        <v>158</v>
      </c>
      <c r="E30" s="199" t="s">
        <v>314</v>
      </c>
      <c r="F30" s="198">
        <v>8.0</v>
      </c>
      <c r="G30" s="190"/>
      <c r="H30" s="191"/>
      <c r="I30" s="191"/>
      <c r="J30" s="191">
        <v>8.0</v>
      </c>
      <c r="K30" s="191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5">
        <f t="shared" si="3"/>
        <v>8</v>
      </c>
      <c r="X30" s="173"/>
      <c r="Y30" s="173"/>
      <c r="Z30" s="173"/>
    </row>
    <row r="31" ht="29.25" customHeight="1">
      <c r="A31" s="173"/>
      <c r="B31" s="200" t="s">
        <v>204</v>
      </c>
      <c r="C31" s="191" t="s">
        <v>313</v>
      </c>
      <c r="D31" s="191" t="s">
        <v>158</v>
      </c>
      <c r="E31" s="199" t="s">
        <v>274</v>
      </c>
      <c r="F31" s="198">
        <v>12.0</v>
      </c>
      <c r="G31" s="191"/>
      <c r="H31" s="191"/>
      <c r="I31" s="191"/>
      <c r="J31" s="191"/>
      <c r="K31" s="190"/>
      <c r="L31" s="190"/>
      <c r="M31" s="191"/>
      <c r="N31" s="191"/>
      <c r="O31" s="191">
        <v>6.0</v>
      </c>
      <c r="P31" s="191">
        <v>6.0</v>
      </c>
      <c r="Q31" s="191"/>
      <c r="R31" s="190"/>
      <c r="S31" s="190"/>
      <c r="T31" s="190"/>
      <c r="U31" s="190"/>
      <c r="V31" s="190"/>
      <c r="W31" s="195">
        <f t="shared" si="3"/>
        <v>12</v>
      </c>
      <c r="X31" s="173"/>
      <c r="Y31" s="173"/>
      <c r="Z31" s="173"/>
    </row>
    <row r="32" ht="12.75" customHeight="1">
      <c r="A32" s="170"/>
      <c r="B32" s="170"/>
      <c r="C32" s="201"/>
      <c r="D32" s="202"/>
      <c r="E32" s="202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2"/>
      <c r="X32" s="170"/>
      <c r="Y32" s="170"/>
      <c r="Z32" s="170"/>
    </row>
    <row r="33" ht="12.75" customHeight="1">
      <c r="A33" s="170"/>
      <c r="B33" s="170"/>
      <c r="C33" s="201"/>
      <c r="D33" s="202"/>
      <c r="E33" s="202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2"/>
      <c r="X33" s="170"/>
      <c r="Y33" s="170"/>
      <c r="Z33" s="170"/>
    </row>
    <row r="34" ht="12.75" customHeight="1">
      <c r="A34" s="170"/>
      <c r="B34" s="170"/>
      <c r="C34" s="173"/>
      <c r="D34" s="178"/>
      <c r="E34" s="170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0"/>
      <c r="X34" s="170"/>
      <c r="Y34" s="170"/>
      <c r="Z34" s="170"/>
    </row>
    <row r="35" ht="12.75" customHeight="1">
      <c r="A35" s="170"/>
      <c r="B35" s="170"/>
      <c r="C35" s="173"/>
      <c r="D35" s="178"/>
      <c r="E35" s="170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0"/>
      <c r="X35" s="170"/>
      <c r="Y35" s="170"/>
      <c r="Z35" s="170"/>
    </row>
    <row r="36" ht="12.75" customHeight="1">
      <c r="A36" s="170"/>
      <c r="B36" s="170"/>
      <c r="C36" s="173"/>
      <c r="D36" s="178"/>
      <c r="E36" s="170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0"/>
      <c r="X36" s="170"/>
      <c r="Y36" s="170"/>
      <c r="Z36" s="170"/>
    </row>
    <row r="37" ht="12.75" customHeight="1">
      <c r="A37" s="170"/>
      <c r="B37" s="170"/>
      <c r="C37" s="173"/>
      <c r="D37" s="178"/>
      <c r="E37" s="170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0"/>
      <c r="X37" s="170"/>
      <c r="Y37" s="170"/>
      <c r="Z37" s="170"/>
    </row>
    <row r="38" ht="12.75" customHeight="1">
      <c r="A38" s="170"/>
      <c r="B38" s="170"/>
      <c r="C38" s="173"/>
      <c r="D38" s="178"/>
      <c r="E38" s="170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0"/>
      <c r="X38" s="170"/>
      <c r="Y38" s="170"/>
      <c r="Z38" s="170"/>
    </row>
    <row r="39" ht="12.75" customHeight="1">
      <c r="A39" s="170"/>
      <c r="B39" s="170"/>
      <c r="C39" s="173"/>
      <c r="D39" s="178"/>
      <c r="E39" s="170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0"/>
      <c r="X39" s="170"/>
      <c r="Y39" s="170"/>
      <c r="Z39" s="170"/>
    </row>
    <row r="40" ht="12.75" customHeight="1">
      <c r="A40" s="170"/>
      <c r="B40" s="170"/>
      <c r="C40" s="173"/>
      <c r="D40" s="178"/>
      <c r="E40" s="170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0"/>
      <c r="X40" s="170"/>
      <c r="Y40" s="170"/>
      <c r="Z40" s="170"/>
    </row>
    <row r="41" ht="12.75" customHeight="1">
      <c r="A41" s="170"/>
      <c r="B41" s="170"/>
      <c r="C41" s="173"/>
      <c r="D41" s="178"/>
      <c r="E41" s="170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0"/>
      <c r="X41" s="170"/>
      <c r="Y41" s="170"/>
      <c r="Z41" s="170"/>
    </row>
    <row r="42" ht="12.75" customHeight="1">
      <c r="A42" s="170"/>
      <c r="B42" s="170"/>
      <c r="C42" s="173"/>
      <c r="D42" s="178"/>
      <c r="E42" s="170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0"/>
      <c r="X42" s="170"/>
      <c r="Y42" s="170"/>
      <c r="Z42" s="170"/>
    </row>
    <row r="43" ht="12.75" customHeight="1">
      <c r="A43" s="170"/>
      <c r="B43" s="170"/>
      <c r="C43" s="173"/>
      <c r="D43" s="178"/>
      <c r="E43" s="170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0"/>
      <c r="X43" s="170"/>
      <c r="Y43" s="170"/>
      <c r="Z43" s="170"/>
    </row>
    <row r="44" ht="12.75" customHeight="1">
      <c r="A44" s="170"/>
      <c r="B44" s="170"/>
      <c r="C44" s="173"/>
      <c r="D44" s="178"/>
      <c r="E44" s="170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0"/>
      <c r="X44" s="170"/>
      <c r="Y44" s="170"/>
      <c r="Z44" s="170"/>
    </row>
    <row r="45" ht="12.75" customHeight="1">
      <c r="A45" s="170"/>
      <c r="B45" s="170"/>
      <c r="C45" s="173"/>
      <c r="D45" s="178"/>
      <c r="E45" s="170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0"/>
      <c r="X45" s="170"/>
      <c r="Y45" s="170"/>
      <c r="Z45" s="170"/>
    </row>
    <row r="46" ht="12.75" customHeight="1">
      <c r="A46" s="170"/>
      <c r="B46" s="170"/>
      <c r="C46" s="173"/>
      <c r="D46" s="178"/>
      <c r="E46" s="170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0"/>
      <c r="X46" s="170"/>
      <c r="Y46" s="170"/>
      <c r="Z46" s="170"/>
    </row>
    <row r="47" ht="12.75" customHeight="1">
      <c r="A47" s="170"/>
      <c r="B47" s="170"/>
      <c r="C47" s="173"/>
      <c r="D47" s="178"/>
      <c r="E47" s="170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0"/>
      <c r="X47" s="170"/>
      <c r="Y47" s="170"/>
      <c r="Z47" s="170"/>
    </row>
    <row r="48" ht="12.75" customHeight="1">
      <c r="A48" s="170"/>
      <c r="B48" s="170"/>
      <c r="C48" s="173"/>
      <c r="D48" s="178"/>
      <c r="E48" s="170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0"/>
      <c r="X48" s="170"/>
      <c r="Y48" s="170"/>
      <c r="Z48" s="170"/>
    </row>
    <row r="49" ht="12.75" customHeight="1">
      <c r="A49" s="170"/>
      <c r="B49" s="170"/>
      <c r="C49" s="173"/>
      <c r="D49" s="178"/>
      <c r="E49" s="170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0"/>
      <c r="X49" s="170"/>
      <c r="Y49" s="170"/>
      <c r="Z49" s="170"/>
    </row>
    <row r="50" ht="12.75" customHeight="1">
      <c r="A50" s="170"/>
      <c r="B50" s="170"/>
      <c r="C50" s="173"/>
      <c r="D50" s="178"/>
      <c r="E50" s="170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0"/>
      <c r="X50" s="170"/>
      <c r="Y50" s="170"/>
      <c r="Z50" s="170"/>
    </row>
    <row r="51" ht="12.75" customHeight="1">
      <c r="A51" s="170"/>
      <c r="B51" s="170"/>
      <c r="C51" s="173"/>
      <c r="D51" s="178"/>
      <c r="E51" s="170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0"/>
      <c r="X51" s="170"/>
      <c r="Y51" s="170"/>
      <c r="Z51" s="170"/>
    </row>
    <row r="52" ht="12.75" customHeight="1">
      <c r="A52" s="170"/>
      <c r="B52" s="170"/>
      <c r="C52" s="173"/>
      <c r="D52" s="178"/>
      <c r="E52" s="170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0"/>
      <c r="X52" s="170"/>
      <c r="Y52" s="170"/>
      <c r="Z52" s="170"/>
    </row>
    <row r="53" ht="12.75" customHeight="1">
      <c r="A53" s="170"/>
      <c r="B53" s="170"/>
      <c r="C53" s="173"/>
      <c r="D53" s="170"/>
      <c r="E53" s="170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0"/>
      <c r="X53" s="170"/>
      <c r="Y53" s="170"/>
      <c r="Z53" s="170"/>
    </row>
    <row r="54" ht="12.75" customHeight="1">
      <c r="A54" s="170"/>
      <c r="B54" s="170"/>
      <c r="C54" s="173"/>
      <c r="D54" s="170"/>
      <c r="E54" s="170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0"/>
      <c r="X54" s="170"/>
      <c r="Y54" s="170"/>
      <c r="Z54" s="170"/>
    </row>
    <row r="55" ht="12.75" customHeight="1">
      <c r="A55" s="170"/>
      <c r="B55" s="170"/>
      <c r="C55" s="173"/>
      <c r="D55" s="170"/>
      <c r="E55" s="170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0"/>
      <c r="X55" s="170"/>
      <c r="Y55" s="170"/>
      <c r="Z55" s="170"/>
    </row>
    <row r="56" ht="12.75" customHeight="1">
      <c r="A56" s="170"/>
      <c r="B56" s="170"/>
      <c r="C56" s="173"/>
      <c r="D56" s="170"/>
      <c r="E56" s="170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0"/>
      <c r="X56" s="170"/>
      <c r="Y56" s="170"/>
      <c r="Z56" s="170"/>
    </row>
    <row r="57" ht="12.75" customHeight="1">
      <c r="A57" s="170"/>
      <c r="B57" s="170"/>
      <c r="C57" s="173"/>
      <c r="D57" s="170"/>
      <c r="E57" s="170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0"/>
      <c r="X57" s="170"/>
      <c r="Y57" s="170"/>
      <c r="Z57" s="170"/>
    </row>
    <row r="58" ht="12.75" customHeight="1">
      <c r="A58" s="170"/>
      <c r="B58" s="170"/>
      <c r="C58" s="173"/>
      <c r="D58" s="170"/>
      <c r="E58" s="170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0"/>
      <c r="X58" s="170"/>
      <c r="Y58" s="170"/>
      <c r="Z58" s="170"/>
    </row>
    <row r="59" ht="12.75" customHeight="1">
      <c r="A59" s="170"/>
      <c r="B59" s="170"/>
      <c r="C59" s="173"/>
      <c r="D59" s="170"/>
      <c r="E59" s="170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0"/>
      <c r="X59" s="170"/>
      <c r="Y59" s="170"/>
      <c r="Z59" s="170"/>
    </row>
    <row r="60" ht="12.75" customHeight="1">
      <c r="A60" s="170"/>
      <c r="B60" s="170"/>
      <c r="C60" s="173"/>
      <c r="D60" s="170"/>
      <c r="E60" s="170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0"/>
      <c r="X60" s="170"/>
      <c r="Y60" s="170"/>
      <c r="Z60" s="170"/>
    </row>
    <row r="61" ht="12.75" customHeight="1">
      <c r="A61" s="170"/>
      <c r="B61" s="170"/>
      <c r="C61" s="173"/>
      <c r="D61" s="170"/>
      <c r="E61" s="170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0"/>
      <c r="X61" s="170"/>
      <c r="Y61" s="170"/>
      <c r="Z61" s="170"/>
    </row>
    <row r="62" ht="12.75" customHeight="1">
      <c r="A62" s="170"/>
      <c r="B62" s="170"/>
      <c r="C62" s="173"/>
      <c r="D62" s="170"/>
      <c r="E62" s="170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0"/>
      <c r="X62" s="170"/>
      <c r="Y62" s="170"/>
      <c r="Z62" s="170"/>
    </row>
    <row r="63" ht="12.75" customHeight="1">
      <c r="A63" s="170"/>
      <c r="B63" s="170"/>
      <c r="C63" s="173"/>
      <c r="D63" s="170"/>
      <c r="E63" s="170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0"/>
      <c r="X63" s="170"/>
      <c r="Y63" s="170"/>
      <c r="Z63" s="170"/>
    </row>
    <row r="64" ht="12.75" customHeight="1">
      <c r="A64" s="170"/>
      <c r="B64" s="170"/>
      <c r="C64" s="173"/>
      <c r="D64" s="170"/>
      <c r="E64" s="170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0"/>
      <c r="X64" s="170"/>
      <c r="Y64" s="170"/>
      <c r="Z64" s="170"/>
    </row>
    <row r="65" ht="12.75" customHeight="1">
      <c r="A65" s="170"/>
      <c r="B65" s="170"/>
      <c r="C65" s="173"/>
      <c r="D65" s="170"/>
      <c r="E65" s="170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0"/>
      <c r="X65" s="170"/>
      <c r="Y65" s="170"/>
      <c r="Z65" s="170"/>
    </row>
    <row r="66" ht="12.75" customHeight="1">
      <c r="A66" s="170"/>
      <c r="B66" s="170"/>
      <c r="C66" s="173"/>
      <c r="D66" s="170"/>
      <c r="E66" s="170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0"/>
      <c r="X66" s="170"/>
      <c r="Y66" s="170"/>
      <c r="Z66" s="170"/>
    </row>
    <row r="67" ht="12.75" customHeight="1">
      <c r="A67" s="170"/>
      <c r="B67" s="170"/>
      <c r="C67" s="173"/>
      <c r="D67" s="170"/>
      <c r="E67" s="170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0"/>
      <c r="X67" s="170"/>
      <c r="Y67" s="170"/>
      <c r="Z67" s="170"/>
    </row>
    <row r="68" ht="12.75" customHeight="1">
      <c r="A68" s="170"/>
      <c r="B68" s="170"/>
      <c r="C68" s="173"/>
      <c r="D68" s="170"/>
      <c r="E68" s="170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0"/>
      <c r="X68" s="170"/>
      <c r="Y68" s="170"/>
      <c r="Z68" s="170"/>
    </row>
    <row r="69" ht="12.75" customHeight="1">
      <c r="A69" s="170"/>
      <c r="B69" s="170"/>
      <c r="C69" s="173"/>
      <c r="D69" s="170"/>
      <c r="E69" s="170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0"/>
      <c r="X69" s="170"/>
      <c r="Y69" s="170"/>
      <c r="Z69" s="170"/>
    </row>
    <row r="70" ht="12.75" customHeight="1">
      <c r="A70" s="170"/>
      <c r="B70" s="170"/>
      <c r="C70" s="173"/>
      <c r="D70" s="170"/>
      <c r="E70" s="170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0"/>
      <c r="X70" s="170"/>
      <c r="Y70" s="170"/>
      <c r="Z70" s="170"/>
    </row>
    <row r="71" ht="12.75" customHeight="1">
      <c r="A71" s="170"/>
      <c r="B71" s="170"/>
      <c r="C71" s="173"/>
      <c r="D71" s="170"/>
      <c r="E71" s="170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0"/>
      <c r="X71" s="170"/>
      <c r="Y71" s="170"/>
      <c r="Z71" s="170"/>
    </row>
    <row r="72" ht="12.75" customHeight="1">
      <c r="A72" s="170"/>
      <c r="B72" s="170"/>
      <c r="C72" s="173"/>
      <c r="D72" s="170"/>
      <c r="E72" s="170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0"/>
      <c r="X72" s="170"/>
      <c r="Y72" s="170"/>
      <c r="Z72" s="170"/>
    </row>
    <row r="73" ht="12.75" customHeight="1">
      <c r="A73" s="170"/>
      <c r="B73" s="170"/>
      <c r="C73" s="173"/>
      <c r="D73" s="170"/>
      <c r="E73" s="170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0"/>
      <c r="X73" s="170"/>
      <c r="Y73" s="170"/>
      <c r="Z73" s="170"/>
    </row>
    <row r="74" ht="12.75" customHeight="1">
      <c r="A74" s="170"/>
      <c r="B74" s="170"/>
      <c r="C74" s="173"/>
      <c r="D74" s="170"/>
      <c r="E74" s="170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0"/>
      <c r="X74" s="170"/>
      <c r="Y74" s="170"/>
      <c r="Z74" s="170"/>
    </row>
    <row r="75" ht="12.75" customHeight="1">
      <c r="A75" s="170"/>
      <c r="B75" s="170"/>
      <c r="C75" s="173"/>
      <c r="D75" s="170"/>
      <c r="E75" s="170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0"/>
      <c r="X75" s="170"/>
      <c r="Y75" s="170"/>
      <c r="Z75" s="170"/>
    </row>
    <row r="76" ht="12.75" customHeight="1">
      <c r="A76" s="170"/>
      <c r="B76" s="170"/>
      <c r="C76" s="173"/>
      <c r="D76" s="170"/>
      <c r="E76" s="170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0"/>
      <c r="X76" s="170"/>
      <c r="Y76" s="170"/>
      <c r="Z76" s="170"/>
    </row>
    <row r="77" ht="12.75" customHeight="1">
      <c r="A77" s="170"/>
      <c r="B77" s="170"/>
      <c r="C77" s="173"/>
      <c r="D77" s="170"/>
      <c r="E77" s="170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0"/>
      <c r="X77" s="170"/>
      <c r="Y77" s="170"/>
      <c r="Z77" s="170"/>
    </row>
    <row r="78" ht="12.75" customHeight="1">
      <c r="A78" s="170"/>
      <c r="B78" s="170"/>
      <c r="C78" s="173"/>
      <c r="D78" s="170"/>
      <c r="E78" s="170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0"/>
      <c r="X78" s="170"/>
      <c r="Y78" s="170"/>
      <c r="Z78" s="170"/>
    </row>
    <row r="79" ht="12.75" customHeight="1">
      <c r="A79" s="170"/>
      <c r="B79" s="170"/>
      <c r="C79" s="173"/>
      <c r="D79" s="170"/>
      <c r="E79" s="170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0"/>
      <c r="X79" s="170"/>
      <c r="Y79" s="170"/>
      <c r="Z79" s="170"/>
    </row>
    <row r="80" ht="12.75" customHeight="1">
      <c r="A80" s="170"/>
      <c r="B80" s="170"/>
      <c r="C80" s="173"/>
      <c r="D80" s="170"/>
      <c r="E80" s="170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0"/>
      <c r="X80" s="170"/>
      <c r="Y80" s="170"/>
      <c r="Z80" s="170"/>
    </row>
    <row r="81" ht="12.75" customHeight="1">
      <c r="A81" s="170"/>
      <c r="B81" s="170"/>
      <c r="C81" s="173"/>
      <c r="D81" s="170"/>
      <c r="E81" s="170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0"/>
      <c r="X81" s="170"/>
      <c r="Y81" s="170"/>
      <c r="Z81" s="170"/>
    </row>
    <row r="82" ht="12.75" customHeight="1">
      <c r="A82" s="170"/>
      <c r="B82" s="170"/>
      <c r="C82" s="173"/>
      <c r="D82" s="170"/>
      <c r="E82" s="170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0"/>
      <c r="X82" s="170"/>
      <c r="Y82" s="170"/>
      <c r="Z82" s="170"/>
    </row>
    <row r="83" ht="12.75" customHeight="1">
      <c r="A83" s="170"/>
      <c r="B83" s="170"/>
      <c r="C83" s="173"/>
      <c r="D83" s="170"/>
      <c r="E83" s="170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0"/>
      <c r="X83" s="170"/>
      <c r="Y83" s="170"/>
      <c r="Z83" s="170"/>
    </row>
    <row r="84" ht="12.75" customHeight="1">
      <c r="A84" s="170"/>
      <c r="B84" s="170"/>
      <c r="C84" s="173"/>
      <c r="D84" s="170"/>
      <c r="E84" s="170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0"/>
      <c r="X84" s="170"/>
      <c r="Y84" s="170"/>
      <c r="Z84" s="170"/>
    </row>
    <row r="85" ht="12.75" customHeight="1">
      <c r="A85" s="170"/>
      <c r="B85" s="170"/>
      <c r="C85" s="173"/>
      <c r="D85" s="170"/>
      <c r="E85" s="170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0"/>
      <c r="X85" s="170"/>
      <c r="Y85" s="170"/>
      <c r="Z85" s="170"/>
    </row>
    <row r="86" ht="12.75" customHeight="1">
      <c r="A86" s="170"/>
      <c r="B86" s="170"/>
      <c r="C86" s="173"/>
      <c r="D86" s="170"/>
      <c r="E86" s="170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0"/>
      <c r="X86" s="170"/>
      <c r="Y86" s="170"/>
      <c r="Z86" s="170"/>
    </row>
    <row r="87" ht="12.75" customHeight="1">
      <c r="A87" s="170"/>
      <c r="B87" s="170"/>
      <c r="C87" s="173"/>
      <c r="D87" s="170"/>
      <c r="E87" s="170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0"/>
      <c r="X87" s="170"/>
      <c r="Y87" s="170"/>
      <c r="Z87" s="170"/>
    </row>
    <row r="88" ht="12.75" customHeight="1">
      <c r="A88" s="170"/>
      <c r="B88" s="170"/>
      <c r="C88" s="173"/>
      <c r="D88" s="170"/>
      <c r="E88" s="170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0"/>
      <c r="X88" s="170"/>
      <c r="Y88" s="170"/>
      <c r="Z88" s="170"/>
    </row>
    <row r="89" ht="12.75" customHeight="1">
      <c r="A89" s="170"/>
      <c r="B89" s="170"/>
      <c r="C89" s="173"/>
      <c r="D89" s="170"/>
      <c r="E89" s="170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0"/>
      <c r="X89" s="170"/>
      <c r="Y89" s="170"/>
      <c r="Z89" s="170"/>
    </row>
    <row r="90" ht="12.75" customHeight="1">
      <c r="A90" s="170"/>
      <c r="B90" s="170"/>
      <c r="C90" s="173"/>
      <c r="D90" s="170"/>
      <c r="E90" s="170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0"/>
      <c r="X90" s="170"/>
      <c r="Y90" s="170"/>
      <c r="Z90" s="170"/>
    </row>
    <row r="91" ht="12.75" customHeight="1">
      <c r="A91" s="170"/>
      <c r="B91" s="170"/>
      <c r="C91" s="173"/>
      <c r="D91" s="170"/>
      <c r="E91" s="170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0"/>
      <c r="X91" s="170"/>
      <c r="Y91" s="170"/>
      <c r="Z91" s="170"/>
    </row>
    <row r="92" ht="12.75" customHeight="1">
      <c r="A92" s="170"/>
      <c r="B92" s="170"/>
      <c r="C92" s="173"/>
      <c r="D92" s="170"/>
      <c r="E92" s="170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0"/>
      <c r="X92" s="170"/>
      <c r="Y92" s="170"/>
      <c r="Z92" s="170"/>
    </row>
    <row r="93" ht="12.75" customHeight="1">
      <c r="A93" s="170"/>
      <c r="B93" s="170"/>
      <c r="C93" s="173"/>
      <c r="D93" s="170"/>
      <c r="E93" s="170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0"/>
      <c r="X93" s="170"/>
      <c r="Y93" s="170"/>
      <c r="Z93" s="170"/>
    </row>
    <row r="94" ht="12.75" customHeight="1">
      <c r="A94" s="170"/>
      <c r="B94" s="170"/>
      <c r="C94" s="173"/>
      <c r="D94" s="170"/>
      <c r="E94" s="170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0"/>
      <c r="X94" s="170"/>
      <c r="Y94" s="170"/>
      <c r="Z94" s="170"/>
    </row>
    <row r="95" ht="12.75" customHeight="1">
      <c r="A95" s="170"/>
      <c r="B95" s="170"/>
      <c r="C95" s="173"/>
      <c r="D95" s="170"/>
      <c r="E95" s="170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0"/>
      <c r="X95" s="170"/>
      <c r="Y95" s="170"/>
      <c r="Z95" s="170"/>
    </row>
    <row r="96" ht="12.75" customHeight="1">
      <c r="A96" s="170"/>
      <c r="B96" s="170"/>
      <c r="C96" s="173"/>
      <c r="D96" s="170"/>
      <c r="E96" s="170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0"/>
      <c r="X96" s="170"/>
      <c r="Y96" s="170"/>
      <c r="Z96" s="170"/>
    </row>
    <row r="97" ht="12.75" customHeight="1">
      <c r="A97" s="170"/>
      <c r="B97" s="170"/>
      <c r="C97" s="173"/>
      <c r="D97" s="170"/>
      <c r="E97" s="170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0"/>
      <c r="X97" s="170"/>
      <c r="Y97" s="170"/>
      <c r="Z97" s="170"/>
    </row>
    <row r="98" ht="12.75" customHeight="1">
      <c r="A98" s="170"/>
      <c r="B98" s="170"/>
      <c r="C98" s="173"/>
      <c r="D98" s="170"/>
      <c r="E98" s="170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0"/>
      <c r="X98" s="170"/>
      <c r="Y98" s="170"/>
      <c r="Z98" s="170"/>
    </row>
    <row r="99" ht="12.75" customHeight="1">
      <c r="A99" s="170"/>
      <c r="B99" s="170"/>
      <c r="C99" s="173"/>
      <c r="D99" s="170"/>
      <c r="E99" s="170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0"/>
      <c r="X99" s="170"/>
      <c r="Y99" s="170"/>
      <c r="Z99" s="170"/>
    </row>
    <row r="100" ht="12.75" customHeight="1">
      <c r="A100" s="170"/>
      <c r="B100" s="170"/>
      <c r="C100" s="173"/>
      <c r="D100" s="170"/>
      <c r="E100" s="170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0"/>
      <c r="X100" s="170"/>
      <c r="Y100" s="170"/>
      <c r="Z100" s="170"/>
    </row>
    <row r="101" ht="12.75" customHeight="1">
      <c r="A101" s="170"/>
      <c r="B101" s="170"/>
      <c r="C101" s="173"/>
      <c r="D101" s="170"/>
      <c r="E101" s="170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0"/>
      <c r="X101" s="170"/>
      <c r="Y101" s="170"/>
      <c r="Z101" s="170"/>
    </row>
    <row r="102" ht="12.75" customHeight="1">
      <c r="A102" s="170"/>
      <c r="B102" s="170"/>
      <c r="C102" s="173"/>
      <c r="D102" s="170"/>
      <c r="E102" s="170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0"/>
      <c r="X102" s="170"/>
      <c r="Y102" s="170"/>
      <c r="Z102" s="170"/>
    </row>
    <row r="103" ht="12.75" customHeight="1">
      <c r="A103" s="170"/>
      <c r="B103" s="170"/>
      <c r="C103" s="173"/>
      <c r="D103" s="170"/>
      <c r="E103" s="170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0"/>
      <c r="X103" s="170"/>
      <c r="Y103" s="170"/>
      <c r="Z103" s="170"/>
    </row>
    <row r="104" ht="12.75" customHeight="1">
      <c r="A104" s="170"/>
      <c r="B104" s="170"/>
      <c r="C104" s="173"/>
      <c r="D104" s="170"/>
      <c r="E104" s="170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0"/>
      <c r="X104" s="170"/>
      <c r="Y104" s="170"/>
      <c r="Z104" s="170"/>
    </row>
    <row r="105" ht="12.75" customHeight="1">
      <c r="A105" s="170"/>
      <c r="B105" s="170"/>
      <c r="C105" s="173"/>
      <c r="D105" s="170"/>
      <c r="E105" s="170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0"/>
      <c r="X105" s="170"/>
      <c r="Y105" s="170"/>
      <c r="Z105" s="170"/>
    </row>
    <row r="106" ht="12.75" customHeight="1">
      <c r="A106" s="170"/>
      <c r="B106" s="170"/>
      <c r="C106" s="173"/>
      <c r="D106" s="170"/>
      <c r="E106" s="170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0"/>
      <c r="X106" s="170"/>
      <c r="Y106" s="170"/>
      <c r="Z106" s="170"/>
    </row>
    <row r="107" ht="12.75" customHeight="1">
      <c r="A107" s="170"/>
      <c r="B107" s="170"/>
      <c r="C107" s="173"/>
      <c r="D107" s="170"/>
      <c r="E107" s="170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0"/>
      <c r="X107" s="170"/>
      <c r="Y107" s="170"/>
      <c r="Z107" s="170"/>
    </row>
    <row r="108" ht="12.75" customHeight="1">
      <c r="A108" s="170"/>
      <c r="B108" s="170"/>
      <c r="C108" s="173"/>
      <c r="D108" s="170"/>
      <c r="E108" s="170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0"/>
      <c r="X108" s="170"/>
      <c r="Y108" s="170"/>
      <c r="Z108" s="170"/>
    </row>
    <row r="109" ht="12.75" customHeight="1">
      <c r="A109" s="170"/>
      <c r="B109" s="170"/>
      <c r="C109" s="173"/>
      <c r="D109" s="170"/>
      <c r="E109" s="170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0"/>
      <c r="X109" s="170"/>
      <c r="Y109" s="170"/>
      <c r="Z109" s="170"/>
    </row>
    <row r="110" ht="12.75" customHeight="1">
      <c r="A110" s="170"/>
      <c r="B110" s="170"/>
      <c r="C110" s="173"/>
      <c r="D110" s="170"/>
      <c r="E110" s="170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0"/>
      <c r="X110" s="170"/>
      <c r="Y110" s="170"/>
      <c r="Z110" s="170"/>
    </row>
    <row r="111" ht="12.75" customHeight="1">
      <c r="A111" s="170"/>
      <c r="B111" s="170"/>
      <c r="C111" s="173"/>
      <c r="D111" s="170"/>
      <c r="E111" s="170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0"/>
      <c r="X111" s="170"/>
      <c r="Y111" s="170"/>
      <c r="Z111" s="170"/>
    </row>
    <row r="112" ht="12.75" customHeight="1">
      <c r="A112" s="170"/>
      <c r="B112" s="170"/>
      <c r="C112" s="173"/>
      <c r="D112" s="170"/>
      <c r="E112" s="170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0"/>
      <c r="X112" s="170"/>
      <c r="Y112" s="170"/>
      <c r="Z112" s="170"/>
    </row>
    <row r="113" ht="12.75" customHeight="1">
      <c r="A113" s="170"/>
      <c r="B113" s="170"/>
      <c r="C113" s="173"/>
      <c r="D113" s="170"/>
      <c r="E113" s="170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0"/>
      <c r="X113" s="170"/>
      <c r="Y113" s="170"/>
      <c r="Z113" s="170"/>
    </row>
    <row r="114" ht="12.75" customHeight="1">
      <c r="A114" s="170"/>
      <c r="B114" s="170"/>
      <c r="C114" s="173"/>
      <c r="D114" s="170"/>
      <c r="E114" s="170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0"/>
      <c r="X114" s="170"/>
      <c r="Y114" s="170"/>
      <c r="Z114" s="170"/>
    </row>
    <row r="115" ht="12.75" customHeight="1">
      <c r="A115" s="170"/>
      <c r="B115" s="170"/>
      <c r="C115" s="173"/>
      <c r="D115" s="170"/>
      <c r="E115" s="170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0"/>
      <c r="X115" s="170"/>
      <c r="Y115" s="170"/>
      <c r="Z115" s="170"/>
    </row>
    <row r="116" ht="12.75" customHeight="1">
      <c r="A116" s="170"/>
      <c r="B116" s="170"/>
      <c r="C116" s="173"/>
      <c r="D116" s="170"/>
      <c r="E116" s="170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0"/>
      <c r="X116" s="170"/>
      <c r="Y116" s="170"/>
      <c r="Z116" s="170"/>
    </row>
    <row r="117" ht="12.75" customHeight="1">
      <c r="A117" s="170"/>
      <c r="B117" s="170"/>
      <c r="C117" s="173"/>
      <c r="D117" s="170"/>
      <c r="E117" s="170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0"/>
      <c r="X117" s="170"/>
      <c r="Y117" s="170"/>
      <c r="Z117" s="170"/>
    </row>
    <row r="118" ht="12.75" customHeight="1">
      <c r="A118" s="170"/>
      <c r="B118" s="170"/>
      <c r="C118" s="173"/>
      <c r="D118" s="170"/>
      <c r="E118" s="170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0"/>
      <c r="X118" s="170"/>
      <c r="Y118" s="170"/>
      <c r="Z118" s="170"/>
    </row>
    <row r="119" ht="12.75" customHeight="1">
      <c r="A119" s="170"/>
      <c r="B119" s="170"/>
      <c r="C119" s="173"/>
      <c r="D119" s="170"/>
      <c r="E119" s="170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0"/>
      <c r="X119" s="170"/>
      <c r="Y119" s="170"/>
      <c r="Z119" s="170"/>
    </row>
    <row r="120" ht="12.75" customHeight="1">
      <c r="A120" s="170"/>
      <c r="B120" s="170"/>
      <c r="C120" s="173"/>
      <c r="D120" s="170"/>
      <c r="E120" s="170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0"/>
      <c r="X120" s="170"/>
      <c r="Y120" s="170"/>
      <c r="Z120" s="170"/>
    </row>
    <row r="121" ht="12.75" customHeight="1">
      <c r="A121" s="170"/>
      <c r="B121" s="170"/>
      <c r="C121" s="173"/>
      <c r="D121" s="170"/>
      <c r="E121" s="170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0"/>
      <c r="X121" s="170"/>
      <c r="Y121" s="170"/>
      <c r="Z121" s="170"/>
    </row>
    <row r="122" ht="12.75" customHeight="1">
      <c r="A122" s="170"/>
      <c r="B122" s="170"/>
      <c r="C122" s="173"/>
      <c r="D122" s="170"/>
      <c r="E122" s="170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0"/>
      <c r="X122" s="170"/>
      <c r="Y122" s="170"/>
      <c r="Z122" s="170"/>
    </row>
    <row r="123" ht="12.75" customHeight="1">
      <c r="A123" s="170"/>
      <c r="B123" s="170"/>
      <c r="C123" s="173"/>
      <c r="D123" s="170"/>
      <c r="E123" s="170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0"/>
      <c r="X123" s="170"/>
      <c r="Y123" s="170"/>
      <c r="Z123" s="170"/>
    </row>
    <row r="124" ht="12.75" customHeight="1">
      <c r="A124" s="170"/>
      <c r="B124" s="170"/>
      <c r="C124" s="173"/>
      <c r="D124" s="170"/>
      <c r="E124" s="170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0"/>
      <c r="X124" s="170"/>
      <c r="Y124" s="170"/>
      <c r="Z124" s="170"/>
    </row>
    <row r="125" ht="12.75" customHeight="1">
      <c r="A125" s="170"/>
      <c r="B125" s="170"/>
      <c r="C125" s="173"/>
      <c r="D125" s="170"/>
      <c r="E125" s="170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0"/>
      <c r="X125" s="170"/>
      <c r="Y125" s="170"/>
      <c r="Z125" s="170"/>
    </row>
    <row r="126" ht="12.75" customHeight="1">
      <c r="A126" s="170"/>
      <c r="B126" s="170"/>
      <c r="C126" s="173"/>
      <c r="D126" s="170"/>
      <c r="E126" s="170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0"/>
      <c r="X126" s="170"/>
      <c r="Y126" s="170"/>
      <c r="Z126" s="170"/>
    </row>
    <row r="127" ht="12.75" customHeight="1">
      <c r="A127" s="170"/>
      <c r="B127" s="170"/>
      <c r="C127" s="173"/>
      <c r="D127" s="170"/>
      <c r="E127" s="170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0"/>
      <c r="X127" s="170"/>
      <c r="Y127" s="170"/>
      <c r="Z127" s="170"/>
    </row>
    <row r="128" ht="12.75" customHeight="1">
      <c r="A128" s="170"/>
      <c r="B128" s="170"/>
      <c r="C128" s="173"/>
      <c r="D128" s="170"/>
      <c r="E128" s="170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0"/>
      <c r="X128" s="170"/>
      <c r="Y128" s="170"/>
      <c r="Z128" s="170"/>
    </row>
    <row r="129" ht="12.75" customHeight="1">
      <c r="A129" s="170"/>
      <c r="B129" s="170"/>
      <c r="C129" s="173"/>
      <c r="D129" s="170"/>
      <c r="E129" s="170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0"/>
      <c r="X129" s="170"/>
      <c r="Y129" s="170"/>
      <c r="Z129" s="170"/>
    </row>
    <row r="130" ht="12.75" customHeight="1">
      <c r="A130" s="170"/>
      <c r="B130" s="170"/>
      <c r="C130" s="173"/>
      <c r="D130" s="170"/>
      <c r="E130" s="170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0"/>
      <c r="X130" s="170"/>
      <c r="Y130" s="170"/>
      <c r="Z130" s="170"/>
    </row>
    <row r="131" ht="12.75" customHeight="1">
      <c r="A131" s="170"/>
      <c r="B131" s="170"/>
      <c r="C131" s="173"/>
      <c r="D131" s="170"/>
      <c r="E131" s="170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0"/>
      <c r="X131" s="170"/>
      <c r="Y131" s="170"/>
      <c r="Z131" s="170"/>
    </row>
    <row r="132" ht="12.75" customHeight="1">
      <c r="A132" s="170"/>
      <c r="B132" s="170"/>
      <c r="C132" s="173"/>
      <c r="D132" s="170"/>
      <c r="E132" s="170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0"/>
      <c r="X132" s="170"/>
      <c r="Y132" s="170"/>
      <c r="Z132" s="170"/>
    </row>
    <row r="133" ht="12.75" customHeight="1">
      <c r="A133" s="170"/>
      <c r="B133" s="170"/>
      <c r="C133" s="173"/>
      <c r="D133" s="170"/>
      <c r="E133" s="170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0"/>
      <c r="X133" s="170"/>
      <c r="Y133" s="170"/>
      <c r="Z133" s="170"/>
    </row>
    <row r="134" ht="12.75" customHeight="1">
      <c r="A134" s="170"/>
      <c r="B134" s="170"/>
      <c r="C134" s="173"/>
      <c r="D134" s="170"/>
      <c r="E134" s="170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0"/>
      <c r="X134" s="170"/>
      <c r="Y134" s="170"/>
      <c r="Z134" s="170"/>
    </row>
    <row r="135" ht="12.75" customHeight="1">
      <c r="A135" s="170"/>
      <c r="B135" s="170"/>
      <c r="C135" s="173"/>
      <c r="D135" s="170"/>
      <c r="E135" s="170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0"/>
      <c r="X135" s="170"/>
      <c r="Y135" s="170"/>
      <c r="Z135" s="170"/>
    </row>
    <row r="136" ht="12.75" customHeight="1">
      <c r="A136" s="170"/>
      <c r="B136" s="170"/>
      <c r="C136" s="173"/>
      <c r="D136" s="170"/>
      <c r="E136" s="170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0"/>
      <c r="X136" s="170"/>
      <c r="Y136" s="170"/>
      <c r="Z136" s="170"/>
    </row>
    <row r="137" ht="12.75" customHeight="1">
      <c r="A137" s="170"/>
      <c r="B137" s="170"/>
      <c r="C137" s="173"/>
      <c r="D137" s="170"/>
      <c r="E137" s="170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0"/>
      <c r="X137" s="170"/>
      <c r="Y137" s="170"/>
      <c r="Z137" s="170"/>
    </row>
    <row r="138" ht="12.75" customHeight="1">
      <c r="A138" s="170"/>
      <c r="B138" s="170"/>
      <c r="C138" s="173"/>
      <c r="D138" s="170"/>
      <c r="E138" s="170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0"/>
      <c r="X138" s="170"/>
      <c r="Y138" s="170"/>
      <c r="Z138" s="170"/>
    </row>
    <row r="139" ht="12.75" customHeight="1">
      <c r="A139" s="170"/>
      <c r="B139" s="170"/>
      <c r="C139" s="173"/>
      <c r="D139" s="170"/>
      <c r="E139" s="170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0"/>
      <c r="X139" s="170"/>
      <c r="Y139" s="170"/>
      <c r="Z139" s="170"/>
    </row>
    <row r="140" ht="12.75" customHeight="1">
      <c r="A140" s="170"/>
      <c r="B140" s="170"/>
      <c r="C140" s="173"/>
      <c r="D140" s="170"/>
      <c r="E140" s="170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0"/>
      <c r="X140" s="170"/>
      <c r="Y140" s="170"/>
      <c r="Z140" s="170"/>
    </row>
    <row r="141" ht="12.75" customHeight="1">
      <c r="A141" s="170"/>
      <c r="B141" s="170"/>
      <c r="C141" s="173"/>
      <c r="D141" s="170"/>
      <c r="E141" s="170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0"/>
      <c r="X141" s="170"/>
      <c r="Y141" s="170"/>
      <c r="Z141" s="170"/>
    </row>
    <row r="142" ht="12.75" customHeight="1">
      <c r="A142" s="170"/>
      <c r="B142" s="170"/>
      <c r="C142" s="173"/>
      <c r="D142" s="170"/>
      <c r="E142" s="170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0"/>
      <c r="X142" s="170"/>
      <c r="Y142" s="170"/>
      <c r="Z142" s="170"/>
    </row>
    <row r="143" ht="12.75" customHeight="1">
      <c r="A143" s="170"/>
      <c r="B143" s="170"/>
      <c r="C143" s="173"/>
      <c r="D143" s="170"/>
      <c r="E143" s="170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0"/>
      <c r="X143" s="170"/>
      <c r="Y143" s="170"/>
      <c r="Z143" s="170"/>
    </row>
    <row r="144" ht="12.75" customHeight="1">
      <c r="A144" s="170"/>
      <c r="B144" s="170"/>
      <c r="C144" s="173"/>
      <c r="D144" s="170"/>
      <c r="E144" s="170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0"/>
      <c r="X144" s="170"/>
      <c r="Y144" s="170"/>
      <c r="Z144" s="170"/>
    </row>
    <row r="145" ht="12.75" customHeight="1">
      <c r="A145" s="170"/>
      <c r="B145" s="170"/>
      <c r="C145" s="173"/>
      <c r="D145" s="170"/>
      <c r="E145" s="170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0"/>
      <c r="X145" s="170"/>
      <c r="Y145" s="170"/>
      <c r="Z145" s="170"/>
    </row>
    <row r="146" ht="12.75" customHeight="1">
      <c r="A146" s="170"/>
      <c r="B146" s="170"/>
      <c r="C146" s="173"/>
      <c r="D146" s="170"/>
      <c r="E146" s="170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0"/>
      <c r="X146" s="170"/>
      <c r="Y146" s="170"/>
      <c r="Z146" s="170"/>
    </row>
    <row r="147" ht="12.75" customHeight="1">
      <c r="A147" s="170"/>
      <c r="B147" s="170"/>
      <c r="C147" s="173"/>
      <c r="D147" s="170"/>
      <c r="E147" s="170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0"/>
      <c r="X147" s="170"/>
      <c r="Y147" s="170"/>
      <c r="Z147" s="170"/>
    </row>
    <row r="148" ht="12.75" customHeight="1">
      <c r="A148" s="170"/>
      <c r="B148" s="170"/>
      <c r="C148" s="173"/>
      <c r="D148" s="170"/>
      <c r="E148" s="170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0"/>
      <c r="X148" s="170"/>
      <c r="Y148" s="170"/>
      <c r="Z148" s="170"/>
    </row>
    <row r="149" ht="12.75" customHeight="1">
      <c r="A149" s="170"/>
      <c r="B149" s="170"/>
      <c r="C149" s="173"/>
      <c r="D149" s="170"/>
      <c r="E149" s="170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0"/>
      <c r="X149" s="170"/>
      <c r="Y149" s="170"/>
      <c r="Z149" s="170"/>
    </row>
    <row r="150" ht="12.75" customHeight="1">
      <c r="A150" s="170"/>
      <c r="B150" s="170"/>
      <c r="C150" s="173"/>
      <c r="D150" s="170"/>
      <c r="E150" s="170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0"/>
      <c r="X150" s="170"/>
      <c r="Y150" s="170"/>
      <c r="Z150" s="170"/>
    </row>
    <row r="151" ht="12.75" customHeight="1">
      <c r="A151" s="170"/>
      <c r="B151" s="170"/>
      <c r="C151" s="173"/>
      <c r="D151" s="170"/>
      <c r="E151" s="170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0"/>
      <c r="X151" s="170"/>
      <c r="Y151" s="170"/>
      <c r="Z151" s="170"/>
    </row>
    <row r="152" ht="12.75" customHeight="1">
      <c r="A152" s="170"/>
      <c r="B152" s="170"/>
      <c r="C152" s="173"/>
      <c r="D152" s="170"/>
      <c r="E152" s="170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0"/>
      <c r="X152" s="170"/>
      <c r="Y152" s="170"/>
      <c r="Z152" s="170"/>
    </row>
    <row r="153" ht="12.75" customHeight="1">
      <c r="A153" s="170"/>
      <c r="B153" s="170"/>
      <c r="C153" s="173"/>
      <c r="D153" s="170"/>
      <c r="E153" s="170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0"/>
      <c r="X153" s="170"/>
      <c r="Y153" s="170"/>
      <c r="Z153" s="170"/>
    </row>
    <row r="154" ht="12.75" customHeight="1">
      <c r="A154" s="170"/>
      <c r="B154" s="170"/>
      <c r="C154" s="173"/>
      <c r="D154" s="170"/>
      <c r="E154" s="170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0"/>
      <c r="X154" s="170"/>
      <c r="Y154" s="170"/>
      <c r="Z154" s="170"/>
    </row>
    <row r="155" ht="12.75" customHeight="1">
      <c r="A155" s="170"/>
      <c r="B155" s="170"/>
      <c r="C155" s="173"/>
      <c r="D155" s="170"/>
      <c r="E155" s="170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0"/>
      <c r="X155" s="170"/>
      <c r="Y155" s="170"/>
      <c r="Z155" s="170"/>
    </row>
    <row r="156" ht="12.75" customHeight="1">
      <c r="A156" s="170"/>
      <c r="B156" s="170"/>
      <c r="C156" s="173"/>
      <c r="D156" s="170"/>
      <c r="E156" s="170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0"/>
      <c r="X156" s="170"/>
      <c r="Y156" s="170"/>
      <c r="Z156" s="170"/>
    </row>
    <row r="157" ht="12.75" customHeight="1">
      <c r="A157" s="170"/>
      <c r="B157" s="170"/>
      <c r="C157" s="173"/>
      <c r="D157" s="170"/>
      <c r="E157" s="170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0"/>
      <c r="X157" s="170"/>
      <c r="Y157" s="170"/>
      <c r="Z157" s="170"/>
    </row>
    <row r="158" ht="12.75" customHeight="1">
      <c r="A158" s="170"/>
      <c r="B158" s="170"/>
      <c r="C158" s="173"/>
      <c r="D158" s="170"/>
      <c r="E158" s="170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0"/>
      <c r="X158" s="170"/>
      <c r="Y158" s="170"/>
      <c r="Z158" s="170"/>
    </row>
    <row r="159" ht="12.75" customHeight="1">
      <c r="A159" s="170"/>
      <c r="B159" s="170"/>
      <c r="C159" s="173"/>
      <c r="D159" s="170"/>
      <c r="E159" s="170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0"/>
      <c r="X159" s="170"/>
      <c r="Y159" s="170"/>
      <c r="Z159" s="170"/>
    </row>
    <row r="160" ht="12.75" customHeight="1">
      <c r="A160" s="170"/>
      <c r="B160" s="170"/>
      <c r="C160" s="173"/>
      <c r="D160" s="170"/>
      <c r="E160" s="170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0"/>
      <c r="X160" s="170"/>
      <c r="Y160" s="170"/>
      <c r="Z160" s="170"/>
    </row>
    <row r="161" ht="12.75" customHeight="1">
      <c r="A161" s="170"/>
      <c r="B161" s="170"/>
      <c r="C161" s="173"/>
      <c r="D161" s="170"/>
      <c r="E161" s="170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0"/>
      <c r="X161" s="170"/>
      <c r="Y161" s="170"/>
      <c r="Z161" s="170"/>
    </row>
    <row r="162" ht="12.75" customHeight="1">
      <c r="A162" s="170"/>
      <c r="B162" s="170"/>
      <c r="C162" s="173"/>
      <c r="D162" s="170"/>
      <c r="E162" s="170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0"/>
      <c r="X162" s="170"/>
      <c r="Y162" s="170"/>
      <c r="Z162" s="170"/>
    </row>
    <row r="163" ht="12.75" customHeight="1">
      <c r="A163" s="170"/>
      <c r="B163" s="170"/>
      <c r="C163" s="173"/>
      <c r="D163" s="170"/>
      <c r="E163" s="170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0"/>
      <c r="X163" s="170"/>
      <c r="Y163" s="170"/>
      <c r="Z163" s="170"/>
    </row>
    <row r="164" ht="12.75" customHeight="1">
      <c r="A164" s="170"/>
      <c r="B164" s="170"/>
      <c r="C164" s="173"/>
      <c r="D164" s="170"/>
      <c r="E164" s="170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0"/>
      <c r="X164" s="170"/>
      <c r="Y164" s="170"/>
      <c r="Z164" s="170"/>
    </row>
    <row r="165" ht="12.75" customHeight="1">
      <c r="A165" s="170"/>
      <c r="B165" s="170"/>
      <c r="C165" s="173"/>
      <c r="D165" s="170"/>
      <c r="E165" s="170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0"/>
      <c r="X165" s="170"/>
      <c r="Y165" s="170"/>
      <c r="Z165" s="170"/>
    </row>
    <row r="166" ht="12.75" customHeight="1">
      <c r="A166" s="170"/>
      <c r="B166" s="170"/>
      <c r="C166" s="173"/>
      <c r="D166" s="170"/>
      <c r="E166" s="170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0"/>
      <c r="X166" s="170"/>
      <c r="Y166" s="170"/>
      <c r="Z166" s="170"/>
    </row>
    <row r="167" ht="12.75" customHeight="1">
      <c r="A167" s="170"/>
      <c r="B167" s="170"/>
      <c r="C167" s="173"/>
      <c r="D167" s="170"/>
      <c r="E167" s="170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0"/>
      <c r="X167" s="170"/>
      <c r="Y167" s="170"/>
      <c r="Z167" s="170"/>
    </row>
    <row r="168" ht="12.75" customHeight="1">
      <c r="A168" s="170"/>
      <c r="B168" s="170"/>
      <c r="C168" s="173"/>
      <c r="D168" s="170"/>
      <c r="E168" s="170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0"/>
      <c r="X168" s="170"/>
      <c r="Y168" s="170"/>
      <c r="Z168" s="170"/>
    </row>
    <row r="169" ht="12.75" customHeight="1">
      <c r="A169" s="170"/>
      <c r="B169" s="170"/>
      <c r="C169" s="173"/>
      <c r="D169" s="170"/>
      <c r="E169" s="170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0"/>
      <c r="X169" s="170"/>
      <c r="Y169" s="170"/>
      <c r="Z169" s="170"/>
    </row>
    <row r="170" ht="12.75" customHeight="1">
      <c r="A170" s="170"/>
      <c r="B170" s="170"/>
      <c r="C170" s="173"/>
      <c r="D170" s="170"/>
      <c r="E170" s="170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0"/>
      <c r="X170" s="170"/>
      <c r="Y170" s="170"/>
      <c r="Z170" s="170"/>
    </row>
    <row r="171" ht="12.75" customHeight="1">
      <c r="A171" s="170"/>
      <c r="B171" s="170"/>
      <c r="C171" s="173"/>
      <c r="D171" s="170"/>
      <c r="E171" s="170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0"/>
      <c r="X171" s="170"/>
      <c r="Y171" s="170"/>
      <c r="Z171" s="170"/>
    </row>
    <row r="172" ht="12.75" customHeight="1">
      <c r="A172" s="170"/>
      <c r="B172" s="170"/>
      <c r="C172" s="173"/>
      <c r="D172" s="170"/>
      <c r="E172" s="170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0"/>
      <c r="X172" s="170"/>
      <c r="Y172" s="170"/>
      <c r="Z172" s="170"/>
    </row>
    <row r="173" ht="12.75" customHeight="1">
      <c r="A173" s="170"/>
      <c r="B173" s="170"/>
      <c r="C173" s="173"/>
      <c r="D173" s="170"/>
      <c r="E173" s="170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0"/>
      <c r="X173" s="170"/>
      <c r="Y173" s="170"/>
      <c r="Z173" s="170"/>
    </row>
    <row r="174" ht="12.75" customHeight="1">
      <c r="A174" s="170"/>
      <c r="B174" s="170"/>
      <c r="C174" s="173"/>
      <c r="D174" s="170"/>
      <c r="E174" s="170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0"/>
      <c r="X174" s="170"/>
      <c r="Y174" s="170"/>
      <c r="Z174" s="170"/>
    </row>
    <row r="175" ht="12.75" customHeight="1">
      <c r="A175" s="170"/>
      <c r="B175" s="170"/>
      <c r="C175" s="173"/>
      <c r="D175" s="170"/>
      <c r="E175" s="170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0"/>
      <c r="X175" s="170"/>
      <c r="Y175" s="170"/>
      <c r="Z175" s="170"/>
    </row>
    <row r="176" ht="12.75" customHeight="1">
      <c r="A176" s="170"/>
      <c r="B176" s="170"/>
      <c r="C176" s="173"/>
      <c r="D176" s="170"/>
      <c r="E176" s="170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0"/>
      <c r="X176" s="170"/>
      <c r="Y176" s="170"/>
      <c r="Z176" s="170"/>
    </row>
    <row r="177" ht="12.75" customHeight="1">
      <c r="A177" s="170"/>
      <c r="B177" s="170"/>
      <c r="C177" s="173"/>
      <c r="D177" s="170"/>
      <c r="E177" s="170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0"/>
      <c r="X177" s="170"/>
      <c r="Y177" s="170"/>
      <c r="Z177" s="170"/>
    </row>
    <row r="178" ht="12.75" customHeight="1">
      <c r="A178" s="170"/>
      <c r="B178" s="170"/>
      <c r="C178" s="173"/>
      <c r="D178" s="170"/>
      <c r="E178" s="170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0"/>
      <c r="X178" s="170"/>
      <c r="Y178" s="170"/>
      <c r="Z178" s="170"/>
    </row>
    <row r="179" ht="12.75" customHeight="1">
      <c r="A179" s="170"/>
      <c r="B179" s="170"/>
      <c r="C179" s="173"/>
      <c r="D179" s="170"/>
      <c r="E179" s="170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0"/>
      <c r="X179" s="170"/>
      <c r="Y179" s="170"/>
      <c r="Z179" s="170"/>
    </row>
    <row r="180" ht="12.75" customHeight="1">
      <c r="A180" s="170"/>
      <c r="B180" s="170"/>
      <c r="C180" s="173"/>
      <c r="D180" s="170"/>
      <c r="E180" s="170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0"/>
      <c r="X180" s="170"/>
      <c r="Y180" s="170"/>
      <c r="Z180" s="170"/>
    </row>
    <row r="181" ht="12.75" customHeight="1">
      <c r="A181" s="170"/>
      <c r="B181" s="170"/>
      <c r="C181" s="173"/>
      <c r="D181" s="170"/>
      <c r="E181" s="170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0"/>
      <c r="X181" s="170"/>
      <c r="Y181" s="170"/>
      <c r="Z181" s="170"/>
    </row>
    <row r="182" ht="12.75" customHeight="1">
      <c r="A182" s="170"/>
      <c r="B182" s="170"/>
      <c r="C182" s="173"/>
      <c r="D182" s="170"/>
      <c r="E182" s="170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0"/>
      <c r="X182" s="170"/>
      <c r="Y182" s="170"/>
      <c r="Z182" s="170"/>
    </row>
    <row r="183" ht="12.75" customHeight="1">
      <c r="A183" s="170"/>
      <c r="B183" s="170"/>
      <c r="C183" s="173"/>
      <c r="D183" s="170"/>
      <c r="E183" s="170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0"/>
      <c r="X183" s="170"/>
      <c r="Y183" s="170"/>
      <c r="Z183" s="170"/>
    </row>
    <row r="184" ht="12.75" customHeight="1">
      <c r="A184" s="170"/>
      <c r="B184" s="170"/>
      <c r="C184" s="173"/>
      <c r="D184" s="170"/>
      <c r="E184" s="170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0"/>
      <c r="X184" s="170"/>
      <c r="Y184" s="170"/>
      <c r="Z184" s="170"/>
    </row>
    <row r="185" ht="12.75" customHeight="1">
      <c r="A185" s="170"/>
      <c r="B185" s="170"/>
      <c r="C185" s="173"/>
      <c r="D185" s="170"/>
      <c r="E185" s="170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0"/>
      <c r="X185" s="170"/>
      <c r="Y185" s="170"/>
      <c r="Z185" s="170"/>
    </row>
    <row r="186" ht="12.75" customHeight="1">
      <c r="A186" s="170"/>
      <c r="B186" s="170"/>
      <c r="C186" s="173"/>
      <c r="D186" s="170"/>
      <c r="E186" s="170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0"/>
      <c r="X186" s="170"/>
      <c r="Y186" s="170"/>
      <c r="Z186" s="170"/>
    </row>
    <row r="187" ht="12.75" customHeight="1">
      <c r="A187" s="170"/>
      <c r="B187" s="170"/>
      <c r="C187" s="173"/>
      <c r="D187" s="170"/>
      <c r="E187" s="170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0"/>
      <c r="X187" s="170"/>
      <c r="Y187" s="170"/>
      <c r="Z187" s="170"/>
    </row>
    <row r="188" ht="12.75" customHeight="1">
      <c r="A188" s="170"/>
      <c r="B188" s="170"/>
      <c r="C188" s="173"/>
      <c r="D188" s="170"/>
      <c r="E188" s="170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0"/>
      <c r="X188" s="170"/>
      <c r="Y188" s="170"/>
      <c r="Z188" s="170"/>
    </row>
    <row r="189" ht="12.75" customHeight="1">
      <c r="A189" s="170"/>
      <c r="B189" s="170"/>
      <c r="C189" s="173"/>
      <c r="D189" s="170"/>
      <c r="E189" s="170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0"/>
      <c r="X189" s="170"/>
      <c r="Y189" s="170"/>
      <c r="Z189" s="170"/>
    </row>
    <row r="190" ht="12.75" customHeight="1">
      <c r="A190" s="170"/>
      <c r="B190" s="170"/>
      <c r="C190" s="173"/>
      <c r="D190" s="170"/>
      <c r="E190" s="170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0"/>
      <c r="X190" s="170"/>
      <c r="Y190" s="170"/>
      <c r="Z190" s="170"/>
    </row>
    <row r="191" ht="12.75" customHeight="1">
      <c r="A191" s="170"/>
      <c r="B191" s="170"/>
      <c r="C191" s="173"/>
      <c r="D191" s="170"/>
      <c r="E191" s="170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0"/>
      <c r="X191" s="170"/>
      <c r="Y191" s="170"/>
      <c r="Z191" s="170"/>
    </row>
    <row r="192" ht="12.75" customHeight="1">
      <c r="A192" s="170"/>
      <c r="B192" s="170"/>
      <c r="C192" s="173"/>
      <c r="D192" s="170"/>
      <c r="E192" s="170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0"/>
      <c r="X192" s="170"/>
      <c r="Y192" s="170"/>
      <c r="Z192" s="170"/>
    </row>
    <row r="193" ht="12.75" customHeight="1">
      <c r="A193" s="170"/>
      <c r="B193" s="170"/>
      <c r="C193" s="173"/>
      <c r="D193" s="170"/>
      <c r="E193" s="170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0"/>
      <c r="X193" s="170"/>
      <c r="Y193" s="170"/>
      <c r="Z193" s="170"/>
    </row>
    <row r="194" ht="12.75" customHeight="1">
      <c r="A194" s="170"/>
      <c r="B194" s="170"/>
      <c r="C194" s="173"/>
      <c r="D194" s="170"/>
      <c r="E194" s="170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0"/>
      <c r="X194" s="170"/>
      <c r="Y194" s="170"/>
      <c r="Z194" s="170"/>
    </row>
    <row r="195" ht="12.75" customHeight="1">
      <c r="A195" s="170"/>
      <c r="B195" s="170"/>
      <c r="C195" s="173"/>
      <c r="D195" s="170"/>
      <c r="E195" s="170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0"/>
      <c r="X195" s="170"/>
      <c r="Y195" s="170"/>
      <c r="Z195" s="170"/>
    </row>
    <row r="196" ht="12.75" customHeight="1">
      <c r="A196" s="170"/>
      <c r="B196" s="170"/>
      <c r="C196" s="173"/>
      <c r="D196" s="170"/>
      <c r="E196" s="170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0"/>
      <c r="X196" s="170"/>
      <c r="Y196" s="170"/>
      <c r="Z196" s="170"/>
    </row>
    <row r="197" ht="12.75" customHeight="1">
      <c r="A197" s="170"/>
      <c r="B197" s="170"/>
      <c r="C197" s="173"/>
      <c r="D197" s="170"/>
      <c r="E197" s="170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0"/>
      <c r="X197" s="170"/>
      <c r="Y197" s="170"/>
      <c r="Z197" s="170"/>
    </row>
    <row r="198" ht="12.75" customHeight="1">
      <c r="A198" s="170"/>
      <c r="B198" s="170"/>
      <c r="C198" s="173"/>
      <c r="D198" s="170"/>
      <c r="E198" s="170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0"/>
      <c r="X198" s="170"/>
      <c r="Y198" s="170"/>
      <c r="Z198" s="170"/>
    </row>
    <row r="199" ht="12.75" customHeight="1">
      <c r="A199" s="170"/>
      <c r="B199" s="170"/>
      <c r="C199" s="173"/>
      <c r="D199" s="170"/>
      <c r="E199" s="170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0"/>
      <c r="X199" s="170"/>
      <c r="Y199" s="170"/>
      <c r="Z199" s="170"/>
    </row>
    <row r="200" ht="12.75" customHeight="1">
      <c r="A200" s="170"/>
      <c r="B200" s="170"/>
      <c r="C200" s="173"/>
      <c r="D200" s="170"/>
      <c r="E200" s="170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0"/>
      <c r="X200" s="170"/>
      <c r="Y200" s="170"/>
      <c r="Z200" s="170"/>
    </row>
    <row r="201" ht="12.75" customHeight="1">
      <c r="A201" s="170"/>
      <c r="B201" s="170"/>
      <c r="C201" s="173"/>
      <c r="D201" s="170"/>
      <c r="E201" s="170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0"/>
      <c r="X201" s="170"/>
      <c r="Y201" s="170"/>
      <c r="Z201" s="170"/>
    </row>
    <row r="202" ht="12.75" customHeight="1">
      <c r="A202" s="170"/>
      <c r="B202" s="170"/>
      <c r="C202" s="173"/>
      <c r="D202" s="170"/>
      <c r="E202" s="170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0"/>
      <c r="X202" s="170"/>
      <c r="Y202" s="170"/>
      <c r="Z202" s="170"/>
    </row>
    <row r="203" ht="12.75" customHeight="1">
      <c r="A203" s="170"/>
      <c r="B203" s="170"/>
      <c r="C203" s="173"/>
      <c r="D203" s="170"/>
      <c r="E203" s="170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0"/>
      <c r="X203" s="170"/>
      <c r="Y203" s="170"/>
      <c r="Z203" s="170"/>
    </row>
    <row r="204" ht="12.75" customHeight="1">
      <c r="A204" s="170"/>
      <c r="B204" s="170"/>
      <c r="C204" s="173"/>
      <c r="D204" s="170"/>
      <c r="E204" s="170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0"/>
      <c r="X204" s="170"/>
      <c r="Y204" s="170"/>
      <c r="Z204" s="170"/>
    </row>
    <row r="205" ht="12.75" customHeight="1">
      <c r="A205" s="170"/>
      <c r="B205" s="170"/>
      <c r="C205" s="173"/>
      <c r="D205" s="170"/>
      <c r="E205" s="170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0"/>
      <c r="X205" s="170"/>
      <c r="Y205" s="170"/>
      <c r="Z205" s="170"/>
    </row>
    <row r="206" ht="12.75" customHeight="1">
      <c r="A206" s="170"/>
      <c r="B206" s="170"/>
      <c r="C206" s="173"/>
      <c r="D206" s="170"/>
      <c r="E206" s="170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0"/>
      <c r="X206" s="170"/>
      <c r="Y206" s="170"/>
      <c r="Z206" s="170"/>
    </row>
    <row r="207" ht="12.75" customHeight="1">
      <c r="A207" s="170"/>
      <c r="B207" s="170"/>
      <c r="C207" s="173"/>
      <c r="D207" s="170"/>
      <c r="E207" s="170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0"/>
      <c r="X207" s="170"/>
      <c r="Y207" s="170"/>
      <c r="Z207" s="170"/>
    </row>
    <row r="208" ht="12.75" customHeight="1">
      <c r="A208" s="170"/>
      <c r="B208" s="170"/>
      <c r="C208" s="173"/>
      <c r="D208" s="170"/>
      <c r="E208" s="170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0"/>
      <c r="X208" s="170"/>
      <c r="Y208" s="170"/>
      <c r="Z208" s="170"/>
    </row>
    <row r="209" ht="12.75" customHeight="1">
      <c r="A209" s="170"/>
      <c r="B209" s="170"/>
      <c r="C209" s="173"/>
      <c r="D209" s="170"/>
      <c r="E209" s="170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0"/>
      <c r="X209" s="170"/>
      <c r="Y209" s="170"/>
      <c r="Z209" s="170"/>
    </row>
    <row r="210" ht="12.75" customHeight="1">
      <c r="A210" s="170"/>
      <c r="B210" s="170"/>
      <c r="C210" s="173"/>
      <c r="D210" s="170"/>
      <c r="E210" s="170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0"/>
      <c r="X210" s="170"/>
      <c r="Y210" s="170"/>
      <c r="Z210" s="170"/>
    </row>
    <row r="211" ht="12.75" customHeight="1">
      <c r="A211" s="170"/>
      <c r="B211" s="170"/>
      <c r="C211" s="173"/>
      <c r="D211" s="170"/>
      <c r="E211" s="170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0"/>
      <c r="X211" s="170"/>
      <c r="Y211" s="170"/>
      <c r="Z211" s="170"/>
    </row>
    <row r="212" ht="12.75" customHeight="1">
      <c r="A212" s="170"/>
      <c r="B212" s="170"/>
      <c r="C212" s="173"/>
      <c r="D212" s="170"/>
      <c r="E212" s="170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0"/>
      <c r="X212" s="170"/>
      <c r="Y212" s="170"/>
      <c r="Z212" s="170"/>
    </row>
    <row r="213" ht="12.75" customHeight="1">
      <c r="A213" s="170"/>
      <c r="B213" s="170"/>
      <c r="C213" s="173"/>
      <c r="D213" s="170"/>
      <c r="E213" s="170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0"/>
      <c r="X213" s="170"/>
      <c r="Y213" s="170"/>
      <c r="Z213" s="170"/>
    </row>
    <row r="214" ht="12.75" customHeight="1">
      <c r="A214" s="170"/>
      <c r="B214" s="170"/>
      <c r="C214" s="173"/>
      <c r="D214" s="170"/>
      <c r="E214" s="170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0"/>
      <c r="X214" s="170"/>
      <c r="Y214" s="170"/>
      <c r="Z214" s="170"/>
    </row>
    <row r="215" ht="12.75" customHeight="1">
      <c r="A215" s="170"/>
      <c r="B215" s="170"/>
      <c r="C215" s="173"/>
      <c r="D215" s="170"/>
      <c r="E215" s="170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0"/>
      <c r="X215" s="170"/>
      <c r="Y215" s="170"/>
      <c r="Z215" s="170"/>
    </row>
    <row r="216" ht="12.75" customHeight="1">
      <c r="A216" s="170"/>
      <c r="B216" s="170"/>
      <c r="C216" s="173"/>
      <c r="D216" s="170"/>
      <c r="E216" s="170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0"/>
      <c r="X216" s="170"/>
      <c r="Y216" s="170"/>
      <c r="Z216" s="170"/>
    </row>
    <row r="217" ht="12.75" customHeight="1">
      <c r="A217" s="170"/>
      <c r="B217" s="170"/>
      <c r="C217" s="173"/>
      <c r="D217" s="170"/>
      <c r="E217" s="170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0"/>
      <c r="X217" s="170"/>
      <c r="Y217" s="170"/>
      <c r="Z217" s="170"/>
    </row>
    <row r="218" ht="12.75" customHeight="1">
      <c r="A218" s="170"/>
      <c r="B218" s="170"/>
      <c r="C218" s="173"/>
      <c r="D218" s="170"/>
      <c r="E218" s="170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0"/>
      <c r="X218" s="170"/>
      <c r="Y218" s="170"/>
      <c r="Z218" s="170"/>
    </row>
    <row r="219" ht="12.75" customHeight="1">
      <c r="A219" s="170"/>
      <c r="B219" s="170"/>
      <c r="C219" s="173"/>
      <c r="D219" s="170"/>
      <c r="E219" s="170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0"/>
      <c r="X219" s="170"/>
      <c r="Y219" s="170"/>
      <c r="Z219" s="170"/>
    </row>
    <row r="220" ht="12.75" customHeight="1">
      <c r="A220" s="170"/>
      <c r="B220" s="170"/>
      <c r="C220" s="173"/>
      <c r="D220" s="170"/>
      <c r="E220" s="170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0"/>
      <c r="X220" s="170"/>
      <c r="Y220" s="170"/>
      <c r="Z220" s="170"/>
    </row>
    <row r="221" ht="12.75" customHeight="1">
      <c r="A221" s="170"/>
      <c r="B221" s="170"/>
      <c r="C221" s="173"/>
      <c r="D221" s="170"/>
      <c r="E221" s="170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0"/>
      <c r="X221" s="170"/>
      <c r="Y221" s="170"/>
      <c r="Z221" s="170"/>
    </row>
    <row r="222" ht="12.75" customHeight="1">
      <c r="A222" s="170"/>
      <c r="B222" s="170"/>
      <c r="C222" s="173"/>
      <c r="D222" s="170"/>
      <c r="E222" s="170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0"/>
      <c r="X222" s="170"/>
      <c r="Y222" s="170"/>
      <c r="Z222" s="170"/>
    </row>
    <row r="223" ht="12.75" customHeight="1">
      <c r="A223" s="170"/>
      <c r="B223" s="170"/>
      <c r="C223" s="173"/>
      <c r="D223" s="170"/>
      <c r="E223" s="170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0"/>
      <c r="X223" s="170"/>
      <c r="Y223" s="170"/>
      <c r="Z223" s="170"/>
    </row>
    <row r="224" ht="12.75" customHeight="1">
      <c r="A224" s="170"/>
      <c r="B224" s="170"/>
      <c r="C224" s="173"/>
      <c r="D224" s="170"/>
      <c r="E224" s="170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0"/>
      <c r="X224" s="170"/>
      <c r="Y224" s="170"/>
      <c r="Z224" s="170"/>
    </row>
    <row r="225" ht="12.75" customHeight="1">
      <c r="A225" s="170"/>
      <c r="B225" s="170"/>
      <c r="C225" s="173"/>
      <c r="D225" s="170"/>
      <c r="E225" s="170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0"/>
      <c r="X225" s="170"/>
      <c r="Y225" s="170"/>
      <c r="Z225" s="170"/>
    </row>
    <row r="226" ht="12.75" customHeight="1">
      <c r="A226" s="170"/>
      <c r="B226" s="170"/>
      <c r="C226" s="173"/>
      <c r="D226" s="170"/>
      <c r="E226" s="170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0"/>
      <c r="X226" s="170"/>
      <c r="Y226" s="170"/>
      <c r="Z226" s="170"/>
    </row>
    <row r="227" ht="12.75" customHeight="1">
      <c r="A227" s="170"/>
      <c r="B227" s="170"/>
      <c r="C227" s="173"/>
      <c r="D227" s="170"/>
      <c r="E227" s="170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0"/>
      <c r="X227" s="170"/>
      <c r="Y227" s="170"/>
      <c r="Z227" s="170"/>
    </row>
    <row r="228" ht="12.75" customHeight="1">
      <c r="A228" s="170"/>
      <c r="B228" s="170"/>
      <c r="C228" s="173"/>
      <c r="D228" s="170"/>
      <c r="E228" s="170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0"/>
      <c r="X228" s="170"/>
      <c r="Y228" s="170"/>
      <c r="Z228" s="170"/>
    </row>
    <row r="229" ht="12.75" customHeight="1">
      <c r="A229" s="170"/>
      <c r="B229" s="170"/>
      <c r="C229" s="173"/>
      <c r="D229" s="170"/>
      <c r="E229" s="170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0"/>
      <c r="X229" s="170"/>
      <c r="Y229" s="170"/>
      <c r="Z229" s="17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2">
    <mergeCell ref="D15:E15"/>
    <mergeCell ref="D16:E16"/>
  </mergeCells>
  <dataValidations>
    <dataValidation type="list" allowBlank="1" sqref="E3:E13 E24:E29 E31">
      <formula1>"Planned,Ongoing,Listo"</formula1>
    </dataValidation>
    <dataValidation type="list" allowBlank="1" sqref="E30">
      <formula1>"Planned,Ongoing,listo"</formula1>
    </dataValidation>
    <dataValidation type="list" allowBlank="1" sqref="E18:E23">
      <formula1>"Planeado,En Marcha,Listo"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0"/>
    <col customWidth="1" min="2" max="2" width="34.22"/>
    <col customWidth="1" min="3" max="3" width="7.11"/>
    <col customWidth="1" min="4" max="4" width="9.44"/>
    <col customWidth="1" min="5" max="5" width="9.78"/>
    <col customWidth="1" min="6" max="6" width="7.22"/>
    <col customWidth="1" min="7" max="22" width="3.89"/>
    <col customWidth="1" min="23" max="23" width="9.22"/>
    <col customWidth="1" min="24" max="26" width="8.0"/>
  </cols>
  <sheetData>
    <row r="1" ht="12.75" customHeight="1">
      <c r="A1" s="170"/>
      <c r="B1" s="171">
        <v>3.0</v>
      </c>
      <c r="C1" s="172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2.75" customHeight="1">
      <c r="A2" s="170"/>
      <c r="B2" s="170"/>
      <c r="C2" s="173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2.75" customHeight="1">
      <c r="A3" s="170"/>
      <c r="B3" s="170"/>
      <c r="C3" s="173"/>
      <c r="D3" s="170"/>
      <c r="E3" s="170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0"/>
      <c r="X3" s="170"/>
      <c r="Y3" s="170"/>
      <c r="Z3" s="170"/>
    </row>
    <row r="4" ht="12.75" customHeight="1">
      <c r="A4" s="170"/>
      <c r="B4" s="170"/>
      <c r="C4" s="173"/>
      <c r="D4" s="170"/>
      <c r="E4" s="170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0"/>
      <c r="X4" s="170"/>
      <c r="Y4" s="170"/>
      <c r="Z4" s="170"/>
    </row>
    <row r="5" ht="12.75" customHeight="1">
      <c r="A5" s="170"/>
      <c r="B5" s="170"/>
      <c r="C5" s="173"/>
      <c r="D5" s="170"/>
      <c r="E5" s="170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0"/>
      <c r="X5" s="170"/>
      <c r="Y5" s="170"/>
      <c r="Z5" s="170"/>
    </row>
    <row r="6" ht="12.75" customHeight="1">
      <c r="A6" s="170"/>
      <c r="B6" s="170"/>
      <c r="C6" s="173"/>
      <c r="D6" s="170"/>
      <c r="E6" s="170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0"/>
      <c r="X6" s="170"/>
      <c r="Y6" s="170"/>
      <c r="Z6" s="170"/>
    </row>
    <row r="7" ht="12.75" customHeight="1">
      <c r="A7" s="170"/>
      <c r="B7" s="170"/>
      <c r="C7" s="173"/>
      <c r="D7" s="170"/>
      <c r="E7" s="170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0"/>
      <c r="X7" s="170"/>
      <c r="Y7" s="170"/>
      <c r="Z7" s="170"/>
    </row>
    <row r="8" ht="12.75" customHeight="1">
      <c r="A8" s="170"/>
      <c r="B8" s="170"/>
      <c r="C8" s="173"/>
      <c r="D8" s="170"/>
      <c r="E8" s="170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0"/>
      <c r="X8" s="170"/>
      <c r="Y8" s="170"/>
      <c r="Z8" s="170"/>
    </row>
    <row r="9" ht="12.75" customHeight="1">
      <c r="A9" s="170"/>
      <c r="B9" s="170"/>
      <c r="C9" s="173"/>
      <c r="D9" s="170"/>
      <c r="E9" s="170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0"/>
      <c r="X9" s="170"/>
      <c r="Y9" s="170"/>
      <c r="Z9" s="170"/>
    </row>
    <row r="10" ht="12.75" customHeight="1">
      <c r="A10" s="170"/>
      <c r="B10" s="170"/>
      <c r="C10" s="173"/>
      <c r="D10" s="170"/>
      <c r="E10" s="170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0"/>
      <c r="X10" s="170"/>
      <c r="Y10" s="170"/>
      <c r="Z10" s="170"/>
    </row>
    <row r="11" ht="12.75" customHeight="1">
      <c r="A11" s="170"/>
      <c r="B11" s="170"/>
      <c r="C11" s="173"/>
      <c r="D11" s="170"/>
      <c r="E11" s="170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0"/>
      <c r="X11" s="170"/>
      <c r="Y11" s="170"/>
      <c r="Z11" s="170"/>
    </row>
    <row r="12" ht="12.75" customHeight="1">
      <c r="A12" s="170"/>
      <c r="B12" s="170"/>
      <c r="C12" s="173"/>
      <c r="D12" s="170"/>
      <c r="E12" s="170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0"/>
      <c r="X12" s="170"/>
      <c r="Y12" s="170"/>
      <c r="Z12" s="170"/>
    </row>
    <row r="13" ht="12.75" customHeight="1">
      <c r="A13" s="170"/>
      <c r="B13" s="170"/>
      <c r="C13" s="173"/>
      <c r="D13" s="170"/>
      <c r="E13" s="170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0"/>
      <c r="X13" s="170"/>
      <c r="Y13" s="170"/>
      <c r="Z13" s="170"/>
    </row>
    <row r="14" ht="12.75" customHeight="1">
      <c r="A14" s="170"/>
      <c r="B14" s="174" t="s">
        <v>298</v>
      </c>
      <c r="C14" s="175">
        <v>6.0</v>
      </c>
      <c r="D14" s="174" t="s">
        <v>299</v>
      </c>
      <c r="E14" s="174" t="s">
        <v>300</v>
      </c>
      <c r="F14" s="176" t="s">
        <v>170</v>
      </c>
      <c r="G14" s="174" t="s">
        <v>301</v>
      </c>
      <c r="H14" s="177"/>
      <c r="I14" s="177"/>
      <c r="J14" s="177"/>
      <c r="K14" s="177"/>
      <c r="L14" s="177"/>
      <c r="M14" s="177"/>
      <c r="N14" s="177"/>
      <c r="O14" s="192"/>
      <c r="P14" s="192"/>
      <c r="Q14" s="192"/>
      <c r="R14" s="192"/>
      <c r="S14" s="192"/>
      <c r="T14" s="192"/>
      <c r="U14" s="192"/>
      <c r="V14" s="192"/>
      <c r="W14" s="170"/>
      <c r="X14" s="170"/>
      <c r="Y14" s="170"/>
      <c r="Z14" s="170"/>
    </row>
    <row r="15" ht="15.75" customHeight="1">
      <c r="A15" s="178"/>
      <c r="B15" s="178"/>
      <c r="C15" s="178"/>
      <c r="D15" s="179" t="s">
        <v>302</v>
      </c>
      <c r="F15" s="179">
        <f>SUM(F18:F27)</f>
        <v>48</v>
      </c>
      <c r="G15" s="179">
        <f>'Sp3'!TaskRows-SUM(G18:G27)</f>
        <v>38</v>
      </c>
      <c r="H15" s="179">
        <f t="shared" ref="H15:V15" si="1">G15-SUM(H18:H27)</f>
        <v>30</v>
      </c>
      <c r="I15" s="179">
        <f t="shared" si="1"/>
        <v>20</v>
      </c>
      <c r="J15" s="179">
        <f t="shared" si="1"/>
        <v>8</v>
      </c>
      <c r="K15" s="179">
        <f t="shared" si="1"/>
        <v>1</v>
      </c>
      <c r="L15" s="179">
        <f t="shared" si="1"/>
        <v>0</v>
      </c>
      <c r="M15" s="179">
        <f t="shared" si="1"/>
        <v>0</v>
      </c>
      <c r="N15" s="179">
        <f t="shared" si="1"/>
        <v>0</v>
      </c>
      <c r="O15" s="179">
        <f t="shared" si="1"/>
        <v>0</v>
      </c>
      <c r="P15" s="179">
        <f t="shared" si="1"/>
        <v>0</v>
      </c>
      <c r="Q15" s="179">
        <f t="shared" si="1"/>
        <v>0</v>
      </c>
      <c r="R15" s="179">
        <f t="shared" si="1"/>
        <v>0</v>
      </c>
      <c r="S15" s="179">
        <f t="shared" si="1"/>
        <v>0</v>
      </c>
      <c r="T15" s="179">
        <f t="shared" si="1"/>
        <v>0</v>
      </c>
      <c r="U15" s="179">
        <f t="shared" si="1"/>
        <v>0</v>
      </c>
      <c r="V15" s="179">
        <f t="shared" si="1"/>
        <v>0</v>
      </c>
      <c r="W15" s="178"/>
      <c r="X15" s="178"/>
      <c r="Y15" s="178"/>
      <c r="Z15" s="178"/>
    </row>
    <row r="16" ht="15.75" customHeight="1">
      <c r="A16" s="178"/>
      <c r="B16" s="178"/>
      <c r="C16" s="178"/>
      <c r="D16" s="180" t="s">
        <v>303</v>
      </c>
      <c r="F16" s="178">
        <f>SUM(F18:F27)</f>
        <v>48</v>
      </c>
      <c r="G16" s="179">
        <f>F16-(SUM($F$18:$F$27)/'Sp3'!ImplementationDays)</f>
        <v>40</v>
      </c>
      <c r="H16" s="179">
        <f>G16-(SUM($F$18:$F$27)/'Sp3'!ImplementationDays)</f>
        <v>32</v>
      </c>
      <c r="I16" s="179">
        <f>H16-(SUM($F$18:$F$27)/'Sp3'!ImplementationDays)</f>
        <v>24</v>
      </c>
      <c r="J16" s="179">
        <f>I16-(SUM($F$18:$F$27)/'Sp3'!ImplementationDays)</f>
        <v>16</v>
      </c>
      <c r="K16" s="179">
        <f>J16-(SUM($F$18:$F$27)/'Sp3'!ImplementationDays)</f>
        <v>8</v>
      </c>
      <c r="L16" s="179">
        <f>K16-(SUM($F$18:$F$27)/'Sp3'!ImplementationDays)</f>
        <v>0</v>
      </c>
      <c r="M16" s="179">
        <f>L16-(SUM($F$18:$F$27)/'Sp3'!ImplementationDays)</f>
        <v>-8</v>
      </c>
      <c r="N16" s="179">
        <f>M16-(SUM($F$18:$F$27)/'Sp3'!ImplementationDays)</f>
        <v>-16</v>
      </c>
      <c r="O16" s="179">
        <f>N16-(SUM($F$18:$F$27)/'Sp3'!ImplementationDays)</f>
        <v>-24</v>
      </c>
      <c r="P16" s="179">
        <f>O16-(SUM($F$18:$F$27)/'Sp3'!ImplementationDays)</f>
        <v>-32</v>
      </c>
      <c r="Q16" s="179">
        <f>P16-(SUM($F$18:$F$27)/'Sp3'!ImplementationDays)</f>
        <v>-40</v>
      </c>
      <c r="R16" s="179">
        <f>Q16-(SUM($F$18:$F$27)/'Sp3'!ImplementationDays)</f>
        <v>-48</v>
      </c>
      <c r="S16" s="179">
        <f>R16-(SUM($F$18:$F$27)/'Sp3'!ImplementationDays)</f>
        <v>-56</v>
      </c>
      <c r="T16" s="179">
        <f>S16-(SUM($F$18:$F$27)/'Sp3'!ImplementationDays)</f>
        <v>-64</v>
      </c>
      <c r="U16" s="179">
        <f>T16-(SUM($F$18:$F$27)/'Sp3'!ImplementationDays)</f>
        <v>-72</v>
      </c>
      <c r="V16" s="179">
        <f>U16-(SUM($F$18:$F$27)/'Sp3'!ImplementationDays)</f>
        <v>-80</v>
      </c>
      <c r="W16" s="178"/>
      <c r="X16" s="178"/>
      <c r="Y16" s="178"/>
      <c r="Z16" s="178"/>
    </row>
    <row r="17" ht="12.75" customHeight="1">
      <c r="A17" s="170"/>
      <c r="B17" s="194" t="s">
        <v>315</v>
      </c>
      <c r="C17" s="184" t="s">
        <v>305</v>
      </c>
      <c r="D17" s="183" t="s">
        <v>306</v>
      </c>
      <c r="E17" s="183" t="s">
        <v>307</v>
      </c>
      <c r="F17" s="184" t="s">
        <v>308</v>
      </c>
      <c r="G17" s="184">
        <v>1.0</v>
      </c>
      <c r="H17" s="184">
        <f t="shared" ref="H17:V17" si="2">IF($C$14&gt;G17,G17+1,"")</f>
        <v>2</v>
      </c>
      <c r="I17" s="184">
        <f t="shared" si="2"/>
        <v>3</v>
      </c>
      <c r="J17" s="184">
        <f t="shared" si="2"/>
        <v>4</v>
      </c>
      <c r="K17" s="184">
        <f t="shared" si="2"/>
        <v>5</v>
      </c>
      <c r="L17" s="184">
        <f t="shared" si="2"/>
        <v>6</v>
      </c>
      <c r="M17" s="184" t="str">
        <f t="shared" si="2"/>
        <v/>
      </c>
      <c r="N17" s="184" t="str">
        <f t="shared" si="2"/>
        <v/>
      </c>
      <c r="O17" s="184" t="str">
        <f t="shared" si="2"/>
        <v/>
      </c>
      <c r="P17" s="184" t="str">
        <f t="shared" si="2"/>
        <v/>
      </c>
      <c r="Q17" s="184" t="str">
        <f t="shared" si="2"/>
        <v/>
      </c>
      <c r="R17" s="184" t="str">
        <f t="shared" si="2"/>
        <v/>
      </c>
      <c r="S17" s="184" t="str">
        <f t="shared" si="2"/>
        <v/>
      </c>
      <c r="T17" s="184" t="str">
        <f t="shared" si="2"/>
        <v/>
      </c>
      <c r="U17" s="184" t="str">
        <f t="shared" si="2"/>
        <v/>
      </c>
      <c r="V17" s="184" t="str">
        <f t="shared" si="2"/>
        <v/>
      </c>
      <c r="W17" s="185" t="s">
        <v>309</v>
      </c>
      <c r="X17" s="170"/>
      <c r="Y17" s="170"/>
      <c r="Z17" s="170"/>
    </row>
    <row r="18" ht="30.0" customHeight="1">
      <c r="A18" s="170"/>
      <c r="B18" s="186" t="s">
        <v>206</v>
      </c>
      <c r="C18" s="188" t="s">
        <v>80</v>
      </c>
      <c r="D18" s="188" t="s">
        <v>157</v>
      </c>
      <c r="E18" s="191" t="s">
        <v>316</v>
      </c>
      <c r="F18" s="191">
        <v>7.0</v>
      </c>
      <c r="G18" s="191">
        <v>7.0</v>
      </c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87"/>
      <c r="U18" s="187"/>
      <c r="V18" s="187"/>
      <c r="W18" s="190">
        <f t="shared" ref="W18:W27" si="3">SUM(G18:V18)</f>
        <v>7</v>
      </c>
      <c r="X18" s="170"/>
      <c r="Y18" s="170"/>
      <c r="Z18" s="170"/>
    </row>
    <row r="19" ht="28.5" customHeight="1">
      <c r="A19" s="170"/>
      <c r="B19" s="186" t="s">
        <v>207</v>
      </c>
      <c r="C19" s="188" t="s">
        <v>80</v>
      </c>
      <c r="D19" s="188" t="s">
        <v>157</v>
      </c>
      <c r="E19" s="191" t="s">
        <v>316</v>
      </c>
      <c r="F19" s="191">
        <v>4.0</v>
      </c>
      <c r="G19" s="191">
        <v>3.0</v>
      </c>
      <c r="H19" s="191">
        <v>1.0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87"/>
      <c r="U19" s="187"/>
      <c r="V19" s="187"/>
      <c r="W19" s="190">
        <f t="shared" si="3"/>
        <v>4</v>
      </c>
      <c r="X19" s="170"/>
      <c r="Y19" s="170"/>
      <c r="Z19" s="170"/>
    </row>
    <row r="20" ht="27.0" customHeight="1">
      <c r="A20" s="170"/>
      <c r="B20" s="186" t="s">
        <v>208</v>
      </c>
      <c r="C20" s="188" t="s">
        <v>80</v>
      </c>
      <c r="D20" s="188" t="s">
        <v>157</v>
      </c>
      <c r="E20" s="191" t="s">
        <v>316</v>
      </c>
      <c r="F20" s="191">
        <v>8.0</v>
      </c>
      <c r="G20" s="190"/>
      <c r="H20" s="191">
        <v>4.0</v>
      </c>
      <c r="I20" s="191">
        <v>4.0</v>
      </c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87"/>
      <c r="U20" s="187"/>
      <c r="V20" s="187"/>
      <c r="W20" s="190">
        <f t="shared" si="3"/>
        <v>8</v>
      </c>
      <c r="X20" s="170"/>
      <c r="Y20" s="170"/>
      <c r="Z20" s="170"/>
    </row>
    <row r="21" ht="30.75" customHeight="1">
      <c r="A21" s="170"/>
      <c r="B21" s="186" t="s">
        <v>209</v>
      </c>
      <c r="C21" s="188" t="s">
        <v>83</v>
      </c>
      <c r="D21" s="188" t="s">
        <v>156</v>
      </c>
      <c r="E21" s="191" t="s">
        <v>316</v>
      </c>
      <c r="F21" s="191">
        <v>6.0</v>
      </c>
      <c r="G21" s="190"/>
      <c r="H21" s="191"/>
      <c r="I21" s="191">
        <v>3.0</v>
      </c>
      <c r="J21" s="191">
        <v>2.0</v>
      </c>
      <c r="K21" s="191">
        <v>1.0</v>
      </c>
      <c r="L21" s="190"/>
      <c r="M21" s="190"/>
      <c r="N21" s="190"/>
      <c r="O21" s="190"/>
      <c r="P21" s="190"/>
      <c r="Q21" s="190"/>
      <c r="R21" s="190"/>
      <c r="S21" s="190"/>
      <c r="T21" s="187"/>
      <c r="U21" s="187"/>
      <c r="V21" s="187"/>
      <c r="W21" s="190">
        <f t="shared" si="3"/>
        <v>6</v>
      </c>
      <c r="X21" s="170"/>
      <c r="Y21" s="170"/>
      <c r="Z21" s="170"/>
    </row>
    <row r="22" ht="33.75" customHeight="1">
      <c r="A22" s="170"/>
      <c r="B22" s="186" t="s">
        <v>211</v>
      </c>
      <c r="C22" s="188" t="s">
        <v>83</v>
      </c>
      <c r="D22" s="188" t="s">
        <v>156</v>
      </c>
      <c r="E22" s="191" t="s">
        <v>316</v>
      </c>
      <c r="F22" s="191">
        <v>4.0</v>
      </c>
      <c r="G22" s="190"/>
      <c r="H22" s="203"/>
      <c r="I22" s="203"/>
      <c r="J22" s="191">
        <v>3.0</v>
      </c>
      <c r="K22" s="191">
        <v>1.0</v>
      </c>
      <c r="L22" s="190"/>
      <c r="M22" s="190"/>
      <c r="N22" s="190"/>
      <c r="O22" s="190"/>
      <c r="P22" s="190"/>
      <c r="Q22" s="190"/>
      <c r="R22" s="190"/>
      <c r="S22" s="190"/>
      <c r="T22" s="187"/>
      <c r="U22" s="187"/>
      <c r="V22" s="187"/>
      <c r="W22" s="190">
        <f t="shared" si="3"/>
        <v>4</v>
      </c>
      <c r="X22" s="170"/>
      <c r="Y22" s="170"/>
      <c r="Z22" s="170"/>
    </row>
    <row r="23" ht="29.25" customHeight="1">
      <c r="A23" s="170"/>
      <c r="B23" s="186" t="s">
        <v>212</v>
      </c>
      <c r="C23" s="188" t="s">
        <v>83</v>
      </c>
      <c r="D23" s="188" t="s">
        <v>156</v>
      </c>
      <c r="E23" s="191" t="s">
        <v>316</v>
      </c>
      <c r="F23" s="191">
        <v>4.0</v>
      </c>
      <c r="G23" s="190"/>
      <c r="H23" s="190"/>
      <c r="I23" s="204">
        <v>1.0</v>
      </c>
      <c r="J23" s="191">
        <v>1.0</v>
      </c>
      <c r="K23" s="191">
        <v>2.0</v>
      </c>
      <c r="L23" s="190"/>
      <c r="M23" s="190"/>
      <c r="N23" s="190"/>
      <c r="O23" s="190"/>
      <c r="P23" s="190"/>
      <c r="Q23" s="190"/>
      <c r="R23" s="190"/>
      <c r="S23" s="190"/>
      <c r="T23" s="187"/>
      <c r="U23" s="187"/>
      <c r="V23" s="187"/>
      <c r="W23" s="190">
        <f t="shared" si="3"/>
        <v>4</v>
      </c>
      <c r="X23" s="170"/>
      <c r="Y23" s="170"/>
      <c r="Z23" s="170"/>
    </row>
    <row r="24" ht="34.5" customHeight="1">
      <c r="A24" s="170"/>
      <c r="B24" s="186" t="s">
        <v>213</v>
      </c>
      <c r="C24" s="188" t="s">
        <v>86</v>
      </c>
      <c r="D24" s="205" t="s">
        <v>159</v>
      </c>
      <c r="E24" s="191" t="s">
        <v>316</v>
      </c>
      <c r="F24" s="191">
        <v>3.0</v>
      </c>
      <c r="G24" s="190"/>
      <c r="H24" s="204">
        <v>3.0</v>
      </c>
      <c r="I24" s="190"/>
      <c r="J24" s="190"/>
      <c r="K24" s="191"/>
      <c r="L24" s="190"/>
      <c r="M24" s="190"/>
      <c r="N24" s="190"/>
      <c r="O24" s="190"/>
      <c r="P24" s="190"/>
      <c r="Q24" s="190"/>
      <c r="R24" s="190"/>
      <c r="S24" s="190"/>
      <c r="T24" s="187"/>
      <c r="U24" s="187"/>
      <c r="V24" s="187"/>
      <c r="W24" s="190">
        <f t="shared" si="3"/>
        <v>3</v>
      </c>
      <c r="X24" s="170"/>
      <c r="Y24" s="170"/>
      <c r="Z24" s="170"/>
    </row>
    <row r="25" ht="29.25" customHeight="1">
      <c r="A25" s="170"/>
      <c r="B25" s="186" t="s">
        <v>214</v>
      </c>
      <c r="C25" s="188" t="s">
        <v>86</v>
      </c>
      <c r="D25" s="205" t="s">
        <v>159</v>
      </c>
      <c r="E25" s="191" t="s">
        <v>316</v>
      </c>
      <c r="F25" s="191">
        <v>4.0</v>
      </c>
      <c r="G25" s="190"/>
      <c r="H25" s="190"/>
      <c r="I25" s="191">
        <v>2.0</v>
      </c>
      <c r="J25" s="191">
        <v>2.0</v>
      </c>
      <c r="K25" s="190"/>
      <c r="L25" s="190"/>
      <c r="M25" s="190"/>
      <c r="N25" s="190"/>
      <c r="O25" s="190"/>
      <c r="P25" s="190"/>
      <c r="Q25" s="190"/>
      <c r="R25" s="190"/>
      <c r="S25" s="190"/>
      <c r="T25" s="187"/>
      <c r="U25" s="187"/>
      <c r="V25" s="187"/>
      <c r="W25" s="190">
        <f t="shared" si="3"/>
        <v>4</v>
      </c>
      <c r="X25" s="170"/>
      <c r="Y25" s="170"/>
      <c r="Z25" s="170"/>
    </row>
    <row r="26" ht="31.5" customHeight="1">
      <c r="A26" s="170"/>
      <c r="B26" s="186" t="s">
        <v>215</v>
      </c>
      <c r="C26" s="188" t="s">
        <v>89</v>
      </c>
      <c r="D26" s="198" t="s">
        <v>158</v>
      </c>
      <c r="E26" s="191" t="s">
        <v>316</v>
      </c>
      <c r="F26" s="191">
        <v>4.0</v>
      </c>
      <c r="G26" s="190"/>
      <c r="H26" s="190"/>
      <c r="I26" s="190"/>
      <c r="J26" s="191">
        <v>4.0</v>
      </c>
      <c r="K26" s="190"/>
      <c r="L26" s="190"/>
      <c r="M26" s="190"/>
      <c r="N26" s="190"/>
      <c r="O26" s="190"/>
      <c r="P26" s="190"/>
      <c r="Q26" s="190"/>
      <c r="R26" s="190"/>
      <c r="S26" s="190"/>
      <c r="T26" s="187"/>
      <c r="U26" s="187"/>
      <c r="V26" s="187"/>
      <c r="W26" s="190">
        <f t="shared" si="3"/>
        <v>4</v>
      </c>
      <c r="X26" s="170"/>
      <c r="Y26" s="170"/>
      <c r="Z26" s="170"/>
    </row>
    <row r="27" ht="32.25" customHeight="1">
      <c r="A27" s="170"/>
      <c r="B27" s="186" t="s">
        <v>217</v>
      </c>
      <c r="C27" s="188" t="s">
        <v>89</v>
      </c>
      <c r="D27" s="198" t="s">
        <v>158</v>
      </c>
      <c r="E27" s="191" t="s">
        <v>316</v>
      </c>
      <c r="F27" s="191">
        <v>4.0</v>
      </c>
      <c r="G27" s="190"/>
      <c r="H27" s="190"/>
      <c r="I27" s="190"/>
      <c r="J27" s="190"/>
      <c r="K27" s="191">
        <v>3.0</v>
      </c>
      <c r="L27" s="191">
        <v>1.0</v>
      </c>
      <c r="M27" s="190"/>
      <c r="N27" s="190"/>
      <c r="O27" s="190"/>
      <c r="P27" s="190"/>
      <c r="Q27" s="190"/>
      <c r="R27" s="190"/>
      <c r="S27" s="190"/>
      <c r="T27" s="187"/>
      <c r="U27" s="187"/>
      <c r="V27" s="187"/>
      <c r="W27" s="190">
        <f t="shared" si="3"/>
        <v>4</v>
      </c>
      <c r="X27" s="170"/>
      <c r="Y27" s="170"/>
      <c r="Z27" s="170"/>
    </row>
    <row r="28" ht="12.75" customHeight="1">
      <c r="A28" s="170"/>
      <c r="B28" s="170"/>
      <c r="C28" s="173"/>
      <c r="D28" s="178"/>
      <c r="E28" s="170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0"/>
      <c r="X28" s="170"/>
      <c r="Y28" s="170"/>
      <c r="Z28" s="170"/>
    </row>
    <row r="29" ht="12.75" customHeight="1">
      <c r="A29" s="170"/>
      <c r="B29" s="170"/>
      <c r="C29" s="173"/>
      <c r="D29" s="178"/>
      <c r="E29" s="170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0"/>
      <c r="X29" s="170"/>
      <c r="Y29" s="170"/>
      <c r="Z29" s="170"/>
    </row>
    <row r="30" ht="12.75" customHeight="1">
      <c r="A30" s="170"/>
      <c r="B30" s="170"/>
      <c r="C30" s="173"/>
      <c r="D30" s="178"/>
      <c r="E30" s="170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0"/>
      <c r="X30" s="170"/>
      <c r="Y30" s="170"/>
      <c r="Z30" s="170"/>
    </row>
    <row r="31" ht="12.75" customHeight="1">
      <c r="A31" s="170"/>
      <c r="B31" s="170"/>
      <c r="C31" s="173"/>
      <c r="D31" s="178"/>
      <c r="E31" s="170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0"/>
      <c r="X31" s="170"/>
      <c r="Y31" s="170"/>
      <c r="Z31" s="170"/>
    </row>
    <row r="32" ht="12.75" customHeight="1">
      <c r="A32" s="170"/>
      <c r="B32" s="170"/>
      <c r="C32" s="173"/>
      <c r="D32" s="178"/>
      <c r="E32" s="170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0"/>
      <c r="X32" s="170"/>
      <c r="Y32" s="170"/>
      <c r="Z32" s="170"/>
    </row>
    <row r="33" ht="12.75" customHeight="1">
      <c r="A33" s="170"/>
      <c r="B33" s="170"/>
      <c r="C33" s="173"/>
      <c r="D33" s="178"/>
      <c r="E33" s="170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0"/>
      <c r="X33" s="170"/>
      <c r="Y33" s="170"/>
      <c r="Z33" s="170"/>
    </row>
    <row r="34" ht="12.75" customHeight="1">
      <c r="A34" s="170"/>
      <c r="B34" s="170"/>
      <c r="C34" s="173"/>
      <c r="D34" s="178"/>
      <c r="E34" s="170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0"/>
      <c r="X34" s="170"/>
      <c r="Y34" s="170"/>
      <c r="Z34" s="170"/>
    </row>
    <row r="35" ht="12.75" customHeight="1">
      <c r="A35" s="170"/>
      <c r="B35" s="170"/>
      <c r="C35" s="173"/>
      <c r="D35" s="178"/>
      <c r="E35" s="170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0"/>
      <c r="X35" s="170"/>
      <c r="Y35" s="170"/>
      <c r="Z35" s="170"/>
    </row>
    <row r="36" ht="12.75" customHeight="1">
      <c r="A36" s="170"/>
      <c r="B36" s="170"/>
      <c r="C36" s="173"/>
      <c r="D36" s="178"/>
      <c r="E36" s="170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0"/>
      <c r="X36" s="170"/>
      <c r="Y36" s="170"/>
      <c r="Z36" s="170"/>
    </row>
    <row r="37" ht="12.75" customHeight="1">
      <c r="A37" s="170"/>
      <c r="B37" s="170"/>
      <c r="C37" s="173"/>
      <c r="D37" s="178"/>
      <c r="E37" s="170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0"/>
      <c r="X37" s="170"/>
      <c r="Y37" s="170"/>
      <c r="Z37" s="170"/>
    </row>
    <row r="38" ht="12.75" customHeight="1">
      <c r="A38" s="170"/>
      <c r="B38" s="170"/>
      <c r="C38" s="173"/>
      <c r="D38" s="178"/>
      <c r="E38" s="170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0"/>
      <c r="X38" s="170"/>
      <c r="Y38" s="170"/>
      <c r="Z38" s="170"/>
    </row>
    <row r="39" ht="12.75" customHeight="1">
      <c r="A39" s="170"/>
      <c r="B39" s="170"/>
      <c r="C39" s="173"/>
      <c r="D39" s="178"/>
      <c r="E39" s="170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0"/>
      <c r="X39" s="170"/>
      <c r="Y39" s="170"/>
      <c r="Z39" s="170"/>
    </row>
    <row r="40" ht="12.75" customHeight="1">
      <c r="A40" s="170"/>
      <c r="B40" s="170"/>
      <c r="C40" s="173"/>
      <c r="D40" s="178"/>
      <c r="E40" s="170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0"/>
      <c r="X40" s="170"/>
      <c r="Y40" s="170"/>
      <c r="Z40" s="170"/>
    </row>
    <row r="41" ht="12.75" customHeight="1">
      <c r="A41" s="170"/>
      <c r="B41" s="170"/>
      <c r="C41" s="173"/>
      <c r="D41" s="178"/>
      <c r="E41" s="170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0"/>
      <c r="X41" s="170"/>
      <c r="Y41" s="170"/>
      <c r="Z41" s="170"/>
    </row>
    <row r="42" ht="12.75" customHeight="1">
      <c r="A42" s="170"/>
      <c r="B42" s="170"/>
      <c r="C42" s="173"/>
      <c r="D42" s="178"/>
      <c r="E42" s="170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0"/>
      <c r="X42" s="170"/>
      <c r="Y42" s="170"/>
      <c r="Z42" s="170"/>
    </row>
    <row r="43" ht="12.75" customHeight="1">
      <c r="A43" s="170"/>
      <c r="B43" s="170"/>
      <c r="C43" s="173"/>
      <c r="D43" s="178"/>
      <c r="E43" s="170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0"/>
      <c r="X43" s="170"/>
      <c r="Y43" s="170"/>
      <c r="Z43" s="170"/>
    </row>
    <row r="44" ht="12.75" customHeight="1">
      <c r="A44" s="170"/>
      <c r="B44" s="170"/>
      <c r="C44" s="173"/>
      <c r="D44" s="178"/>
      <c r="E44" s="170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0"/>
      <c r="X44" s="170"/>
      <c r="Y44" s="170"/>
      <c r="Z44" s="170"/>
    </row>
    <row r="45" ht="12.75" customHeight="1">
      <c r="A45" s="170"/>
      <c r="B45" s="170"/>
      <c r="C45" s="173"/>
      <c r="D45" s="178"/>
      <c r="E45" s="170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0"/>
      <c r="X45" s="170"/>
      <c r="Y45" s="170"/>
      <c r="Z45" s="170"/>
    </row>
    <row r="46" ht="12.75" customHeight="1">
      <c r="A46" s="170"/>
      <c r="B46" s="170"/>
      <c r="C46" s="173"/>
      <c r="D46" s="178"/>
      <c r="E46" s="170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0"/>
      <c r="X46" s="170"/>
      <c r="Y46" s="170"/>
      <c r="Z46" s="170"/>
    </row>
    <row r="47" ht="12.75" customHeight="1">
      <c r="A47" s="170"/>
      <c r="B47" s="170"/>
      <c r="C47" s="173"/>
      <c r="D47" s="178"/>
      <c r="E47" s="170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0"/>
      <c r="X47" s="170"/>
      <c r="Y47" s="170"/>
      <c r="Z47" s="170"/>
    </row>
    <row r="48" ht="12.75" customHeight="1">
      <c r="A48" s="170"/>
      <c r="B48" s="170"/>
      <c r="C48" s="173"/>
      <c r="D48" s="178"/>
      <c r="E48" s="170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0"/>
      <c r="X48" s="170"/>
      <c r="Y48" s="170"/>
      <c r="Z48" s="170"/>
    </row>
    <row r="49" ht="12.75" customHeight="1">
      <c r="A49" s="170"/>
      <c r="B49" s="170"/>
      <c r="C49" s="173"/>
      <c r="D49" s="178"/>
      <c r="E49" s="170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0"/>
      <c r="X49" s="170"/>
      <c r="Y49" s="170"/>
      <c r="Z49" s="170"/>
    </row>
    <row r="50" ht="12.75" customHeight="1">
      <c r="A50" s="170"/>
      <c r="B50" s="170"/>
      <c r="C50" s="173"/>
      <c r="D50" s="170"/>
      <c r="E50" s="170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0"/>
      <c r="X50" s="170"/>
      <c r="Y50" s="170"/>
      <c r="Z50" s="170"/>
    </row>
    <row r="51" ht="12.75" customHeight="1">
      <c r="A51" s="170"/>
      <c r="B51" s="170"/>
      <c r="C51" s="173"/>
      <c r="D51" s="170"/>
      <c r="E51" s="170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0"/>
      <c r="X51" s="170"/>
      <c r="Y51" s="170"/>
      <c r="Z51" s="170"/>
    </row>
    <row r="52" ht="12.75" customHeight="1">
      <c r="A52" s="170"/>
      <c r="B52" s="170"/>
      <c r="C52" s="173"/>
      <c r="D52" s="170"/>
      <c r="E52" s="170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0"/>
      <c r="X52" s="170"/>
      <c r="Y52" s="170"/>
      <c r="Z52" s="170"/>
    </row>
    <row r="53" ht="12.75" customHeight="1">
      <c r="A53" s="170"/>
      <c r="B53" s="170"/>
      <c r="C53" s="173"/>
      <c r="D53" s="170"/>
      <c r="E53" s="170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0"/>
      <c r="X53" s="170"/>
      <c r="Y53" s="170"/>
      <c r="Z53" s="170"/>
    </row>
    <row r="54" ht="12.75" customHeight="1">
      <c r="A54" s="170"/>
      <c r="B54" s="170"/>
      <c r="C54" s="173"/>
      <c r="D54" s="170"/>
      <c r="E54" s="170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0"/>
      <c r="X54" s="170"/>
      <c r="Y54" s="170"/>
      <c r="Z54" s="170"/>
    </row>
    <row r="55" ht="12.75" customHeight="1">
      <c r="A55" s="170"/>
      <c r="B55" s="170"/>
      <c r="C55" s="173"/>
      <c r="D55" s="170"/>
      <c r="E55" s="170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0"/>
      <c r="X55" s="170"/>
      <c r="Y55" s="170"/>
      <c r="Z55" s="170"/>
    </row>
    <row r="56" ht="12.75" customHeight="1">
      <c r="A56" s="170"/>
      <c r="B56" s="170"/>
      <c r="C56" s="173"/>
      <c r="D56" s="170"/>
      <c r="E56" s="170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0"/>
      <c r="X56" s="170"/>
      <c r="Y56" s="170"/>
      <c r="Z56" s="170"/>
    </row>
    <row r="57" ht="12.75" customHeight="1">
      <c r="A57" s="170"/>
      <c r="B57" s="170"/>
      <c r="C57" s="173"/>
      <c r="D57" s="170"/>
      <c r="E57" s="170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0"/>
      <c r="X57" s="170"/>
      <c r="Y57" s="170"/>
      <c r="Z57" s="170"/>
    </row>
    <row r="58" ht="12.75" customHeight="1">
      <c r="A58" s="170"/>
      <c r="B58" s="170"/>
      <c r="C58" s="173"/>
      <c r="D58" s="170"/>
      <c r="E58" s="170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0"/>
      <c r="X58" s="170"/>
      <c r="Y58" s="170"/>
      <c r="Z58" s="170"/>
    </row>
    <row r="59" ht="12.75" customHeight="1">
      <c r="A59" s="170"/>
      <c r="B59" s="170"/>
      <c r="C59" s="173"/>
      <c r="D59" s="170"/>
      <c r="E59" s="170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0"/>
      <c r="X59" s="170"/>
      <c r="Y59" s="170"/>
      <c r="Z59" s="170"/>
    </row>
    <row r="60" ht="12.75" customHeight="1">
      <c r="A60" s="170"/>
      <c r="B60" s="170"/>
      <c r="C60" s="173"/>
      <c r="D60" s="170"/>
      <c r="E60" s="170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0"/>
      <c r="X60" s="170"/>
      <c r="Y60" s="170"/>
      <c r="Z60" s="170"/>
    </row>
    <row r="61" ht="12.75" customHeight="1">
      <c r="A61" s="170"/>
      <c r="B61" s="170"/>
      <c r="C61" s="173"/>
      <c r="D61" s="170"/>
      <c r="E61" s="170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0"/>
      <c r="X61" s="170"/>
      <c r="Y61" s="170"/>
      <c r="Z61" s="170"/>
    </row>
    <row r="62" ht="12.75" customHeight="1">
      <c r="A62" s="170"/>
      <c r="B62" s="170"/>
      <c r="C62" s="173"/>
      <c r="D62" s="170"/>
      <c r="E62" s="170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0"/>
      <c r="X62" s="170"/>
      <c r="Y62" s="170"/>
      <c r="Z62" s="170"/>
    </row>
    <row r="63" ht="12.75" customHeight="1">
      <c r="A63" s="170"/>
      <c r="B63" s="170"/>
      <c r="C63" s="173"/>
      <c r="D63" s="170"/>
      <c r="E63" s="170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0"/>
      <c r="X63" s="170"/>
      <c r="Y63" s="170"/>
      <c r="Z63" s="170"/>
    </row>
    <row r="64" ht="12.75" customHeight="1">
      <c r="A64" s="170"/>
      <c r="B64" s="170"/>
      <c r="C64" s="173"/>
      <c r="D64" s="170"/>
      <c r="E64" s="170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0"/>
      <c r="X64" s="170"/>
      <c r="Y64" s="170"/>
      <c r="Z64" s="170"/>
    </row>
    <row r="65" ht="12.75" customHeight="1">
      <c r="A65" s="170"/>
      <c r="B65" s="170"/>
      <c r="C65" s="173"/>
      <c r="D65" s="170"/>
      <c r="E65" s="170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0"/>
      <c r="X65" s="170"/>
      <c r="Y65" s="170"/>
      <c r="Z65" s="170"/>
    </row>
    <row r="66" ht="12.75" customHeight="1">
      <c r="A66" s="170"/>
      <c r="B66" s="170"/>
      <c r="C66" s="173"/>
      <c r="D66" s="170"/>
      <c r="E66" s="170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0"/>
      <c r="X66" s="170"/>
      <c r="Y66" s="170"/>
      <c r="Z66" s="170"/>
    </row>
    <row r="67" ht="12.75" customHeight="1">
      <c r="A67" s="170"/>
      <c r="B67" s="170"/>
      <c r="C67" s="173"/>
      <c r="D67" s="170"/>
      <c r="E67" s="170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0"/>
      <c r="X67" s="170"/>
      <c r="Y67" s="170"/>
      <c r="Z67" s="170"/>
    </row>
    <row r="68" ht="12.75" customHeight="1">
      <c r="A68" s="170"/>
      <c r="B68" s="170"/>
      <c r="C68" s="173"/>
      <c r="D68" s="170"/>
      <c r="E68" s="170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0"/>
      <c r="X68" s="170"/>
      <c r="Y68" s="170"/>
      <c r="Z68" s="170"/>
    </row>
    <row r="69" ht="12.75" customHeight="1">
      <c r="A69" s="170"/>
      <c r="B69" s="170"/>
      <c r="C69" s="173"/>
      <c r="D69" s="170"/>
      <c r="E69" s="170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0"/>
      <c r="X69" s="170"/>
      <c r="Y69" s="170"/>
      <c r="Z69" s="170"/>
    </row>
    <row r="70" ht="12.75" customHeight="1">
      <c r="A70" s="170"/>
      <c r="B70" s="170"/>
      <c r="C70" s="173"/>
      <c r="D70" s="170"/>
      <c r="E70" s="170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0"/>
      <c r="X70" s="170"/>
      <c r="Y70" s="170"/>
      <c r="Z70" s="170"/>
    </row>
    <row r="71" ht="12.75" customHeight="1">
      <c r="A71" s="170"/>
      <c r="B71" s="170"/>
      <c r="C71" s="173"/>
      <c r="D71" s="170"/>
      <c r="E71" s="170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0"/>
      <c r="X71" s="170"/>
      <c r="Y71" s="170"/>
      <c r="Z71" s="170"/>
    </row>
    <row r="72" ht="12.75" customHeight="1">
      <c r="A72" s="170"/>
      <c r="B72" s="170"/>
      <c r="C72" s="173"/>
      <c r="D72" s="170"/>
      <c r="E72" s="170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0"/>
      <c r="X72" s="170"/>
      <c r="Y72" s="170"/>
      <c r="Z72" s="170"/>
    </row>
    <row r="73" ht="12.75" customHeight="1">
      <c r="A73" s="170"/>
      <c r="B73" s="170"/>
      <c r="C73" s="173"/>
      <c r="D73" s="170"/>
      <c r="E73" s="170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0"/>
      <c r="X73" s="170"/>
      <c r="Y73" s="170"/>
      <c r="Z73" s="170"/>
    </row>
    <row r="74" ht="12.75" customHeight="1">
      <c r="A74" s="170"/>
      <c r="B74" s="170"/>
      <c r="C74" s="173"/>
      <c r="D74" s="170"/>
      <c r="E74" s="170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0"/>
      <c r="X74" s="170"/>
      <c r="Y74" s="170"/>
      <c r="Z74" s="170"/>
    </row>
    <row r="75" ht="12.75" customHeight="1">
      <c r="A75" s="170"/>
      <c r="B75" s="170"/>
      <c r="C75" s="173"/>
      <c r="D75" s="170"/>
      <c r="E75" s="170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0"/>
      <c r="X75" s="170"/>
      <c r="Y75" s="170"/>
      <c r="Z75" s="170"/>
    </row>
    <row r="76" ht="12.75" customHeight="1">
      <c r="A76" s="170"/>
      <c r="B76" s="170"/>
      <c r="C76" s="173"/>
      <c r="D76" s="170"/>
      <c r="E76" s="170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0"/>
      <c r="X76" s="170"/>
      <c r="Y76" s="170"/>
      <c r="Z76" s="170"/>
    </row>
    <row r="77" ht="12.75" customHeight="1">
      <c r="A77" s="170"/>
      <c r="B77" s="170"/>
      <c r="C77" s="173"/>
      <c r="D77" s="170"/>
      <c r="E77" s="170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0"/>
      <c r="X77" s="170"/>
      <c r="Y77" s="170"/>
      <c r="Z77" s="170"/>
    </row>
    <row r="78" ht="12.75" customHeight="1">
      <c r="A78" s="170"/>
      <c r="B78" s="170"/>
      <c r="C78" s="173"/>
      <c r="D78" s="170"/>
      <c r="E78" s="170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0"/>
      <c r="X78" s="170"/>
      <c r="Y78" s="170"/>
      <c r="Z78" s="170"/>
    </row>
    <row r="79" ht="12.75" customHeight="1">
      <c r="A79" s="170"/>
      <c r="B79" s="170"/>
      <c r="C79" s="173"/>
      <c r="D79" s="170"/>
      <c r="E79" s="170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0"/>
      <c r="X79" s="170"/>
      <c r="Y79" s="170"/>
      <c r="Z79" s="170"/>
    </row>
    <row r="80" ht="12.75" customHeight="1">
      <c r="A80" s="170"/>
      <c r="B80" s="170"/>
      <c r="C80" s="173"/>
      <c r="D80" s="170"/>
      <c r="E80" s="170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0"/>
      <c r="X80" s="170"/>
      <c r="Y80" s="170"/>
      <c r="Z80" s="170"/>
    </row>
    <row r="81" ht="12.75" customHeight="1">
      <c r="A81" s="170"/>
      <c r="B81" s="170"/>
      <c r="C81" s="173"/>
      <c r="D81" s="170"/>
      <c r="E81" s="170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0"/>
      <c r="X81" s="170"/>
      <c r="Y81" s="170"/>
      <c r="Z81" s="170"/>
    </row>
    <row r="82" ht="12.75" customHeight="1">
      <c r="A82" s="170"/>
      <c r="B82" s="170"/>
      <c r="C82" s="173"/>
      <c r="D82" s="170"/>
      <c r="E82" s="170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0"/>
      <c r="X82" s="170"/>
      <c r="Y82" s="170"/>
      <c r="Z82" s="170"/>
    </row>
    <row r="83" ht="12.75" customHeight="1">
      <c r="A83" s="170"/>
      <c r="B83" s="170"/>
      <c r="C83" s="173"/>
      <c r="D83" s="170"/>
      <c r="E83" s="170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0"/>
      <c r="X83" s="170"/>
      <c r="Y83" s="170"/>
      <c r="Z83" s="170"/>
    </row>
    <row r="84" ht="12.75" customHeight="1">
      <c r="A84" s="170"/>
      <c r="B84" s="170"/>
      <c r="C84" s="173"/>
      <c r="D84" s="170"/>
      <c r="E84" s="170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0"/>
      <c r="X84" s="170"/>
      <c r="Y84" s="170"/>
      <c r="Z84" s="170"/>
    </row>
    <row r="85" ht="12.75" customHeight="1">
      <c r="A85" s="170"/>
      <c r="B85" s="170"/>
      <c r="C85" s="173"/>
      <c r="D85" s="170"/>
      <c r="E85" s="170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0"/>
      <c r="X85" s="170"/>
      <c r="Y85" s="170"/>
      <c r="Z85" s="170"/>
    </row>
    <row r="86" ht="12.75" customHeight="1">
      <c r="A86" s="170"/>
      <c r="B86" s="170"/>
      <c r="C86" s="173"/>
      <c r="D86" s="170"/>
      <c r="E86" s="170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0"/>
      <c r="X86" s="170"/>
      <c r="Y86" s="170"/>
      <c r="Z86" s="170"/>
    </row>
    <row r="87" ht="12.75" customHeight="1">
      <c r="A87" s="170"/>
      <c r="B87" s="170"/>
      <c r="C87" s="173"/>
      <c r="D87" s="170"/>
      <c r="E87" s="170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0"/>
      <c r="X87" s="170"/>
      <c r="Y87" s="170"/>
      <c r="Z87" s="170"/>
    </row>
    <row r="88" ht="12.75" customHeight="1">
      <c r="A88" s="170"/>
      <c r="B88" s="170"/>
      <c r="C88" s="173"/>
      <c r="D88" s="170"/>
      <c r="E88" s="170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0"/>
      <c r="X88" s="170"/>
      <c r="Y88" s="170"/>
      <c r="Z88" s="170"/>
    </row>
    <row r="89" ht="12.75" customHeight="1">
      <c r="A89" s="170"/>
      <c r="B89" s="170"/>
      <c r="C89" s="173"/>
      <c r="D89" s="170"/>
      <c r="E89" s="170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0"/>
      <c r="X89" s="170"/>
      <c r="Y89" s="170"/>
      <c r="Z89" s="170"/>
    </row>
    <row r="90" ht="12.75" customHeight="1">
      <c r="A90" s="170"/>
      <c r="B90" s="170"/>
      <c r="C90" s="173"/>
      <c r="D90" s="170"/>
      <c r="E90" s="170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0"/>
      <c r="X90" s="170"/>
      <c r="Y90" s="170"/>
      <c r="Z90" s="170"/>
    </row>
    <row r="91" ht="12.75" customHeight="1">
      <c r="A91" s="170"/>
      <c r="B91" s="170"/>
      <c r="C91" s="173"/>
      <c r="D91" s="170"/>
      <c r="E91" s="170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0"/>
      <c r="X91" s="170"/>
      <c r="Y91" s="170"/>
      <c r="Z91" s="170"/>
    </row>
    <row r="92" ht="12.75" customHeight="1">
      <c r="A92" s="170"/>
      <c r="B92" s="170"/>
      <c r="C92" s="173"/>
      <c r="D92" s="170"/>
      <c r="E92" s="170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0"/>
      <c r="X92" s="170"/>
      <c r="Y92" s="170"/>
      <c r="Z92" s="170"/>
    </row>
    <row r="93" ht="12.75" customHeight="1">
      <c r="A93" s="170"/>
      <c r="B93" s="170"/>
      <c r="C93" s="173"/>
      <c r="D93" s="170"/>
      <c r="E93" s="170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0"/>
      <c r="X93" s="170"/>
      <c r="Y93" s="170"/>
      <c r="Z93" s="170"/>
    </row>
    <row r="94" ht="12.75" customHeight="1">
      <c r="A94" s="170"/>
      <c r="B94" s="170"/>
      <c r="C94" s="173"/>
      <c r="D94" s="170"/>
      <c r="E94" s="170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0"/>
      <c r="X94" s="170"/>
      <c r="Y94" s="170"/>
      <c r="Z94" s="170"/>
    </row>
    <row r="95" ht="12.75" customHeight="1">
      <c r="A95" s="170"/>
      <c r="B95" s="170"/>
      <c r="C95" s="173"/>
      <c r="D95" s="170"/>
      <c r="E95" s="170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0"/>
      <c r="X95" s="170"/>
      <c r="Y95" s="170"/>
      <c r="Z95" s="170"/>
    </row>
    <row r="96" ht="12.75" customHeight="1">
      <c r="A96" s="170"/>
      <c r="B96" s="170"/>
      <c r="C96" s="173"/>
      <c r="D96" s="170"/>
      <c r="E96" s="170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0"/>
      <c r="X96" s="170"/>
      <c r="Y96" s="170"/>
      <c r="Z96" s="170"/>
    </row>
    <row r="97" ht="12.75" customHeight="1">
      <c r="A97" s="170"/>
      <c r="B97" s="170"/>
      <c r="C97" s="173"/>
      <c r="D97" s="170"/>
      <c r="E97" s="170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0"/>
      <c r="X97" s="170"/>
      <c r="Y97" s="170"/>
      <c r="Z97" s="170"/>
    </row>
    <row r="98" ht="12.75" customHeight="1">
      <c r="A98" s="170"/>
      <c r="B98" s="170"/>
      <c r="C98" s="173"/>
      <c r="D98" s="170"/>
      <c r="E98" s="170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0"/>
      <c r="X98" s="170"/>
      <c r="Y98" s="170"/>
      <c r="Z98" s="170"/>
    </row>
    <row r="99" ht="12.75" customHeight="1">
      <c r="A99" s="170"/>
      <c r="B99" s="170"/>
      <c r="C99" s="173"/>
      <c r="D99" s="170"/>
      <c r="E99" s="170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0"/>
      <c r="X99" s="170"/>
      <c r="Y99" s="170"/>
      <c r="Z99" s="170"/>
    </row>
    <row r="100" ht="12.75" customHeight="1">
      <c r="A100" s="170"/>
      <c r="B100" s="170"/>
      <c r="C100" s="173"/>
      <c r="D100" s="170"/>
      <c r="E100" s="170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0"/>
      <c r="X100" s="170"/>
      <c r="Y100" s="170"/>
      <c r="Z100" s="170"/>
    </row>
    <row r="101" ht="12.75" customHeight="1">
      <c r="A101" s="170"/>
      <c r="B101" s="170"/>
      <c r="C101" s="173"/>
      <c r="D101" s="170"/>
      <c r="E101" s="170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0"/>
      <c r="X101" s="170"/>
      <c r="Y101" s="170"/>
      <c r="Z101" s="170"/>
    </row>
    <row r="102" ht="12.75" customHeight="1">
      <c r="A102" s="170"/>
      <c r="B102" s="170"/>
      <c r="C102" s="173"/>
      <c r="D102" s="170"/>
      <c r="E102" s="170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0"/>
      <c r="X102" s="170"/>
      <c r="Y102" s="170"/>
      <c r="Z102" s="170"/>
    </row>
    <row r="103" ht="12.75" customHeight="1">
      <c r="A103" s="170"/>
      <c r="B103" s="170"/>
      <c r="C103" s="173"/>
      <c r="D103" s="170"/>
      <c r="E103" s="170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0"/>
      <c r="X103" s="170"/>
      <c r="Y103" s="170"/>
      <c r="Z103" s="170"/>
    </row>
    <row r="104" ht="12.75" customHeight="1">
      <c r="A104" s="170"/>
      <c r="B104" s="170"/>
      <c r="C104" s="173"/>
      <c r="D104" s="170"/>
      <c r="E104" s="170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0"/>
      <c r="X104" s="170"/>
      <c r="Y104" s="170"/>
      <c r="Z104" s="170"/>
    </row>
    <row r="105" ht="12.75" customHeight="1">
      <c r="A105" s="170"/>
      <c r="B105" s="170"/>
      <c r="C105" s="173"/>
      <c r="D105" s="170"/>
      <c r="E105" s="170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0"/>
      <c r="X105" s="170"/>
      <c r="Y105" s="170"/>
      <c r="Z105" s="170"/>
    </row>
    <row r="106" ht="12.75" customHeight="1">
      <c r="A106" s="170"/>
      <c r="B106" s="170"/>
      <c r="C106" s="173"/>
      <c r="D106" s="170"/>
      <c r="E106" s="170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0"/>
      <c r="X106" s="170"/>
      <c r="Y106" s="170"/>
      <c r="Z106" s="170"/>
    </row>
    <row r="107" ht="12.75" customHeight="1">
      <c r="A107" s="170"/>
      <c r="B107" s="170"/>
      <c r="C107" s="173"/>
      <c r="D107" s="170"/>
      <c r="E107" s="170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0"/>
      <c r="X107" s="170"/>
      <c r="Y107" s="170"/>
      <c r="Z107" s="170"/>
    </row>
    <row r="108" ht="12.75" customHeight="1">
      <c r="A108" s="170"/>
      <c r="B108" s="170"/>
      <c r="C108" s="173"/>
      <c r="D108" s="170"/>
      <c r="E108" s="170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0"/>
      <c r="X108" s="170"/>
      <c r="Y108" s="170"/>
      <c r="Z108" s="170"/>
    </row>
    <row r="109" ht="12.75" customHeight="1">
      <c r="A109" s="170"/>
      <c r="B109" s="170"/>
      <c r="C109" s="173"/>
      <c r="D109" s="170"/>
      <c r="E109" s="170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0"/>
      <c r="X109" s="170"/>
      <c r="Y109" s="170"/>
      <c r="Z109" s="170"/>
    </row>
    <row r="110" ht="12.75" customHeight="1">
      <c r="A110" s="170"/>
      <c r="B110" s="170"/>
      <c r="C110" s="173"/>
      <c r="D110" s="170"/>
      <c r="E110" s="170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0"/>
      <c r="X110" s="170"/>
      <c r="Y110" s="170"/>
      <c r="Z110" s="170"/>
    </row>
    <row r="111" ht="12.75" customHeight="1">
      <c r="A111" s="170"/>
      <c r="B111" s="170"/>
      <c r="C111" s="173"/>
      <c r="D111" s="170"/>
      <c r="E111" s="170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0"/>
      <c r="X111" s="170"/>
      <c r="Y111" s="170"/>
      <c r="Z111" s="170"/>
    </row>
    <row r="112" ht="12.75" customHeight="1">
      <c r="A112" s="170"/>
      <c r="B112" s="170"/>
      <c r="C112" s="173"/>
      <c r="D112" s="170"/>
      <c r="E112" s="170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0"/>
      <c r="X112" s="170"/>
      <c r="Y112" s="170"/>
      <c r="Z112" s="170"/>
    </row>
    <row r="113" ht="12.75" customHeight="1">
      <c r="A113" s="170"/>
      <c r="B113" s="170"/>
      <c r="C113" s="173"/>
      <c r="D113" s="170"/>
      <c r="E113" s="170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0"/>
      <c r="X113" s="170"/>
      <c r="Y113" s="170"/>
      <c r="Z113" s="170"/>
    </row>
    <row r="114" ht="12.75" customHeight="1">
      <c r="A114" s="170"/>
      <c r="B114" s="170"/>
      <c r="C114" s="173"/>
      <c r="D114" s="170"/>
      <c r="E114" s="170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0"/>
      <c r="X114" s="170"/>
      <c r="Y114" s="170"/>
      <c r="Z114" s="170"/>
    </row>
    <row r="115" ht="12.75" customHeight="1">
      <c r="A115" s="170"/>
      <c r="B115" s="170"/>
      <c r="C115" s="173"/>
      <c r="D115" s="170"/>
      <c r="E115" s="170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0"/>
      <c r="X115" s="170"/>
      <c r="Y115" s="170"/>
      <c r="Z115" s="170"/>
    </row>
    <row r="116" ht="12.75" customHeight="1">
      <c r="A116" s="170"/>
      <c r="B116" s="170"/>
      <c r="C116" s="173"/>
      <c r="D116" s="170"/>
      <c r="E116" s="170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0"/>
      <c r="X116" s="170"/>
      <c r="Y116" s="170"/>
      <c r="Z116" s="170"/>
    </row>
    <row r="117" ht="12.75" customHeight="1">
      <c r="A117" s="170"/>
      <c r="B117" s="170"/>
      <c r="C117" s="173"/>
      <c r="D117" s="170"/>
      <c r="E117" s="170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0"/>
      <c r="X117" s="170"/>
      <c r="Y117" s="170"/>
      <c r="Z117" s="170"/>
    </row>
    <row r="118" ht="12.75" customHeight="1">
      <c r="A118" s="170"/>
      <c r="B118" s="170"/>
      <c r="C118" s="173"/>
      <c r="D118" s="170"/>
      <c r="E118" s="170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0"/>
      <c r="X118" s="170"/>
      <c r="Y118" s="170"/>
      <c r="Z118" s="170"/>
    </row>
    <row r="119" ht="12.75" customHeight="1">
      <c r="A119" s="170"/>
      <c r="B119" s="170"/>
      <c r="C119" s="173"/>
      <c r="D119" s="170"/>
      <c r="E119" s="170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0"/>
      <c r="X119" s="170"/>
      <c r="Y119" s="170"/>
      <c r="Z119" s="170"/>
    </row>
    <row r="120" ht="12.75" customHeight="1">
      <c r="A120" s="170"/>
      <c r="B120" s="170"/>
      <c r="C120" s="173"/>
      <c r="D120" s="170"/>
      <c r="E120" s="170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0"/>
      <c r="X120" s="170"/>
      <c r="Y120" s="170"/>
      <c r="Z120" s="170"/>
    </row>
    <row r="121" ht="12.75" customHeight="1">
      <c r="A121" s="170"/>
      <c r="B121" s="170"/>
      <c r="C121" s="173"/>
      <c r="D121" s="170"/>
      <c r="E121" s="170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0"/>
      <c r="X121" s="170"/>
      <c r="Y121" s="170"/>
      <c r="Z121" s="170"/>
    </row>
    <row r="122" ht="12.75" customHeight="1">
      <c r="A122" s="170"/>
      <c r="B122" s="170"/>
      <c r="C122" s="173"/>
      <c r="D122" s="170"/>
      <c r="E122" s="170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0"/>
      <c r="X122" s="170"/>
      <c r="Y122" s="170"/>
      <c r="Z122" s="170"/>
    </row>
    <row r="123" ht="12.75" customHeight="1">
      <c r="A123" s="170"/>
      <c r="B123" s="170"/>
      <c r="C123" s="173"/>
      <c r="D123" s="170"/>
      <c r="E123" s="170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0"/>
      <c r="X123" s="170"/>
      <c r="Y123" s="170"/>
      <c r="Z123" s="170"/>
    </row>
    <row r="124" ht="12.75" customHeight="1">
      <c r="A124" s="170"/>
      <c r="B124" s="170"/>
      <c r="C124" s="173"/>
      <c r="D124" s="170"/>
      <c r="E124" s="170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0"/>
      <c r="X124" s="170"/>
      <c r="Y124" s="170"/>
      <c r="Z124" s="170"/>
    </row>
    <row r="125" ht="12.75" customHeight="1">
      <c r="A125" s="170"/>
      <c r="B125" s="170"/>
      <c r="C125" s="173"/>
      <c r="D125" s="170"/>
      <c r="E125" s="170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0"/>
      <c r="X125" s="170"/>
      <c r="Y125" s="170"/>
      <c r="Z125" s="170"/>
    </row>
    <row r="126" ht="12.75" customHeight="1">
      <c r="A126" s="170"/>
      <c r="B126" s="170"/>
      <c r="C126" s="173"/>
      <c r="D126" s="170"/>
      <c r="E126" s="170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0"/>
      <c r="X126" s="170"/>
      <c r="Y126" s="170"/>
      <c r="Z126" s="170"/>
    </row>
    <row r="127" ht="12.75" customHeight="1">
      <c r="A127" s="170"/>
      <c r="B127" s="170"/>
      <c r="C127" s="173"/>
      <c r="D127" s="170"/>
      <c r="E127" s="170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0"/>
      <c r="X127" s="170"/>
      <c r="Y127" s="170"/>
      <c r="Z127" s="170"/>
    </row>
    <row r="128" ht="12.75" customHeight="1">
      <c r="A128" s="170"/>
      <c r="B128" s="170"/>
      <c r="C128" s="173"/>
      <c r="D128" s="170"/>
      <c r="E128" s="170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0"/>
      <c r="X128" s="170"/>
      <c r="Y128" s="170"/>
      <c r="Z128" s="170"/>
    </row>
    <row r="129" ht="12.75" customHeight="1">
      <c r="A129" s="170"/>
      <c r="B129" s="170"/>
      <c r="C129" s="173"/>
      <c r="D129" s="170"/>
      <c r="E129" s="170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0"/>
      <c r="X129" s="170"/>
      <c r="Y129" s="170"/>
      <c r="Z129" s="170"/>
    </row>
    <row r="130" ht="12.75" customHeight="1">
      <c r="A130" s="170"/>
      <c r="B130" s="170"/>
      <c r="C130" s="173"/>
      <c r="D130" s="170"/>
      <c r="E130" s="170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0"/>
      <c r="X130" s="170"/>
      <c r="Y130" s="170"/>
      <c r="Z130" s="170"/>
    </row>
    <row r="131" ht="12.75" customHeight="1">
      <c r="A131" s="170"/>
      <c r="B131" s="170"/>
      <c r="C131" s="173"/>
      <c r="D131" s="170"/>
      <c r="E131" s="170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0"/>
      <c r="X131" s="170"/>
      <c r="Y131" s="170"/>
      <c r="Z131" s="170"/>
    </row>
    <row r="132" ht="12.75" customHeight="1">
      <c r="A132" s="170"/>
      <c r="B132" s="170"/>
      <c r="C132" s="173"/>
      <c r="D132" s="170"/>
      <c r="E132" s="170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0"/>
      <c r="X132" s="170"/>
      <c r="Y132" s="170"/>
      <c r="Z132" s="170"/>
    </row>
    <row r="133" ht="12.75" customHeight="1">
      <c r="A133" s="170"/>
      <c r="B133" s="170"/>
      <c r="C133" s="173"/>
      <c r="D133" s="170"/>
      <c r="E133" s="170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0"/>
      <c r="X133" s="170"/>
      <c r="Y133" s="170"/>
      <c r="Z133" s="170"/>
    </row>
    <row r="134" ht="12.75" customHeight="1">
      <c r="A134" s="170"/>
      <c r="B134" s="170"/>
      <c r="C134" s="173"/>
      <c r="D134" s="170"/>
      <c r="E134" s="170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0"/>
      <c r="X134" s="170"/>
      <c r="Y134" s="170"/>
      <c r="Z134" s="170"/>
    </row>
    <row r="135" ht="12.75" customHeight="1">
      <c r="A135" s="170"/>
      <c r="B135" s="170"/>
      <c r="C135" s="173"/>
      <c r="D135" s="170"/>
      <c r="E135" s="170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0"/>
      <c r="X135" s="170"/>
      <c r="Y135" s="170"/>
      <c r="Z135" s="170"/>
    </row>
    <row r="136" ht="12.75" customHeight="1">
      <c r="A136" s="170"/>
      <c r="B136" s="170"/>
      <c r="C136" s="173"/>
      <c r="D136" s="170"/>
      <c r="E136" s="170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0"/>
      <c r="X136" s="170"/>
      <c r="Y136" s="170"/>
      <c r="Z136" s="170"/>
    </row>
    <row r="137" ht="12.75" customHeight="1">
      <c r="A137" s="170"/>
      <c r="B137" s="170"/>
      <c r="C137" s="173"/>
      <c r="D137" s="170"/>
      <c r="E137" s="170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0"/>
      <c r="X137" s="170"/>
      <c r="Y137" s="170"/>
      <c r="Z137" s="170"/>
    </row>
    <row r="138" ht="12.75" customHeight="1">
      <c r="A138" s="170"/>
      <c r="B138" s="170"/>
      <c r="C138" s="173"/>
      <c r="D138" s="170"/>
      <c r="E138" s="170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0"/>
      <c r="X138" s="170"/>
      <c r="Y138" s="170"/>
      <c r="Z138" s="170"/>
    </row>
    <row r="139" ht="12.75" customHeight="1">
      <c r="A139" s="170"/>
      <c r="B139" s="170"/>
      <c r="C139" s="173"/>
      <c r="D139" s="170"/>
      <c r="E139" s="170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0"/>
      <c r="X139" s="170"/>
      <c r="Y139" s="170"/>
      <c r="Z139" s="170"/>
    </row>
    <row r="140" ht="12.75" customHeight="1">
      <c r="A140" s="170"/>
      <c r="B140" s="170"/>
      <c r="C140" s="173"/>
      <c r="D140" s="170"/>
      <c r="E140" s="170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0"/>
      <c r="X140" s="170"/>
      <c r="Y140" s="170"/>
      <c r="Z140" s="170"/>
    </row>
    <row r="141" ht="12.75" customHeight="1">
      <c r="A141" s="170"/>
      <c r="B141" s="170"/>
      <c r="C141" s="173"/>
      <c r="D141" s="170"/>
      <c r="E141" s="170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0"/>
      <c r="X141" s="170"/>
      <c r="Y141" s="170"/>
      <c r="Z141" s="170"/>
    </row>
    <row r="142" ht="12.75" customHeight="1">
      <c r="A142" s="170"/>
      <c r="B142" s="170"/>
      <c r="C142" s="173"/>
      <c r="D142" s="170"/>
      <c r="E142" s="170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0"/>
      <c r="X142" s="170"/>
      <c r="Y142" s="170"/>
      <c r="Z142" s="170"/>
    </row>
    <row r="143" ht="12.75" customHeight="1">
      <c r="A143" s="170"/>
      <c r="B143" s="170"/>
      <c r="C143" s="173"/>
      <c r="D143" s="170"/>
      <c r="E143" s="170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0"/>
      <c r="X143" s="170"/>
      <c r="Y143" s="170"/>
      <c r="Z143" s="170"/>
    </row>
    <row r="144" ht="12.75" customHeight="1">
      <c r="A144" s="170"/>
      <c r="B144" s="170"/>
      <c r="C144" s="173"/>
      <c r="D144" s="170"/>
      <c r="E144" s="170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0"/>
      <c r="X144" s="170"/>
      <c r="Y144" s="170"/>
      <c r="Z144" s="170"/>
    </row>
    <row r="145" ht="12.75" customHeight="1">
      <c r="A145" s="170"/>
      <c r="B145" s="170"/>
      <c r="C145" s="173"/>
      <c r="D145" s="170"/>
      <c r="E145" s="170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0"/>
      <c r="X145" s="170"/>
      <c r="Y145" s="170"/>
      <c r="Z145" s="170"/>
    </row>
    <row r="146" ht="12.75" customHeight="1">
      <c r="A146" s="170"/>
      <c r="B146" s="170"/>
      <c r="C146" s="173"/>
      <c r="D146" s="170"/>
      <c r="E146" s="170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0"/>
      <c r="X146" s="170"/>
      <c r="Y146" s="170"/>
      <c r="Z146" s="170"/>
    </row>
    <row r="147" ht="12.75" customHeight="1">
      <c r="A147" s="170"/>
      <c r="B147" s="170"/>
      <c r="C147" s="173"/>
      <c r="D147" s="170"/>
      <c r="E147" s="170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0"/>
      <c r="X147" s="170"/>
      <c r="Y147" s="170"/>
      <c r="Z147" s="170"/>
    </row>
    <row r="148" ht="12.75" customHeight="1">
      <c r="A148" s="170"/>
      <c r="B148" s="170"/>
      <c r="C148" s="173"/>
      <c r="D148" s="170"/>
      <c r="E148" s="170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0"/>
      <c r="X148" s="170"/>
      <c r="Y148" s="170"/>
      <c r="Z148" s="170"/>
    </row>
    <row r="149" ht="12.75" customHeight="1">
      <c r="A149" s="170"/>
      <c r="B149" s="170"/>
      <c r="C149" s="173"/>
      <c r="D149" s="170"/>
      <c r="E149" s="170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0"/>
      <c r="X149" s="170"/>
      <c r="Y149" s="170"/>
      <c r="Z149" s="170"/>
    </row>
    <row r="150" ht="12.75" customHeight="1">
      <c r="A150" s="170"/>
      <c r="B150" s="170"/>
      <c r="C150" s="173"/>
      <c r="D150" s="170"/>
      <c r="E150" s="170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0"/>
      <c r="X150" s="170"/>
      <c r="Y150" s="170"/>
      <c r="Z150" s="170"/>
    </row>
    <row r="151" ht="12.75" customHeight="1">
      <c r="A151" s="170"/>
      <c r="B151" s="170"/>
      <c r="C151" s="173"/>
      <c r="D151" s="170"/>
      <c r="E151" s="170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0"/>
      <c r="X151" s="170"/>
      <c r="Y151" s="170"/>
      <c r="Z151" s="170"/>
    </row>
    <row r="152" ht="12.75" customHeight="1">
      <c r="A152" s="170"/>
      <c r="B152" s="170"/>
      <c r="C152" s="173"/>
      <c r="D152" s="170"/>
      <c r="E152" s="170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0"/>
      <c r="X152" s="170"/>
      <c r="Y152" s="170"/>
      <c r="Z152" s="170"/>
    </row>
    <row r="153" ht="12.75" customHeight="1">
      <c r="A153" s="170"/>
      <c r="B153" s="170"/>
      <c r="C153" s="173"/>
      <c r="D153" s="170"/>
      <c r="E153" s="170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0"/>
      <c r="X153" s="170"/>
      <c r="Y153" s="170"/>
      <c r="Z153" s="170"/>
    </row>
    <row r="154" ht="12.75" customHeight="1">
      <c r="A154" s="170"/>
      <c r="B154" s="170"/>
      <c r="C154" s="173"/>
      <c r="D154" s="170"/>
      <c r="E154" s="170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0"/>
      <c r="X154" s="170"/>
      <c r="Y154" s="170"/>
      <c r="Z154" s="170"/>
    </row>
    <row r="155" ht="12.75" customHeight="1">
      <c r="A155" s="170"/>
      <c r="B155" s="170"/>
      <c r="C155" s="173"/>
      <c r="D155" s="170"/>
      <c r="E155" s="170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0"/>
      <c r="X155" s="170"/>
      <c r="Y155" s="170"/>
      <c r="Z155" s="170"/>
    </row>
    <row r="156" ht="12.75" customHeight="1">
      <c r="A156" s="170"/>
      <c r="B156" s="170"/>
      <c r="C156" s="173"/>
      <c r="D156" s="170"/>
      <c r="E156" s="170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0"/>
      <c r="X156" s="170"/>
      <c r="Y156" s="170"/>
      <c r="Z156" s="170"/>
    </row>
    <row r="157" ht="12.75" customHeight="1">
      <c r="A157" s="170"/>
      <c r="B157" s="170"/>
      <c r="C157" s="173"/>
      <c r="D157" s="170"/>
      <c r="E157" s="170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0"/>
      <c r="X157" s="170"/>
      <c r="Y157" s="170"/>
      <c r="Z157" s="170"/>
    </row>
    <row r="158" ht="12.75" customHeight="1">
      <c r="A158" s="170"/>
      <c r="B158" s="170"/>
      <c r="C158" s="173"/>
      <c r="D158" s="170"/>
      <c r="E158" s="170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0"/>
      <c r="X158" s="170"/>
      <c r="Y158" s="170"/>
      <c r="Z158" s="170"/>
    </row>
    <row r="159" ht="12.75" customHeight="1">
      <c r="A159" s="170"/>
      <c r="B159" s="170"/>
      <c r="C159" s="173"/>
      <c r="D159" s="170"/>
      <c r="E159" s="170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0"/>
      <c r="X159" s="170"/>
      <c r="Y159" s="170"/>
      <c r="Z159" s="170"/>
    </row>
    <row r="160" ht="12.75" customHeight="1">
      <c r="A160" s="170"/>
      <c r="B160" s="170"/>
      <c r="C160" s="173"/>
      <c r="D160" s="170"/>
      <c r="E160" s="170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0"/>
      <c r="X160" s="170"/>
      <c r="Y160" s="170"/>
      <c r="Z160" s="170"/>
    </row>
    <row r="161" ht="12.75" customHeight="1">
      <c r="A161" s="170"/>
      <c r="B161" s="170"/>
      <c r="C161" s="173"/>
      <c r="D161" s="170"/>
      <c r="E161" s="170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0"/>
      <c r="X161" s="170"/>
      <c r="Y161" s="170"/>
      <c r="Z161" s="170"/>
    </row>
    <row r="162" ht="12.75" customHeight="1">
      <c r="A162" s="170"/>
      <c r="B162" s="170"/>
      <c r="C162" s="173"/>
      <c r="D162" s="170"/>
      <c r="E162" s="170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0"/>
      <c r="X162" s="170"/>
      <c r="Y162" s="170"/>
      <c r="Z162" s="170"/>
    </row>
    <row r="163" ht="12.75" customHeight="1">
      <c r="A163" s="170"/>
      <c r="B163" s="170"/>
      <c r="C163" s="173"/>
      <c r="D163" s="170"/>
      <c r="E163" s="170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0"/>
      <c r="X163" s="170"/>
      <c r="Y163" s="170"/>
      <c r="Z163" s="170"/>
    </row>
    <row r="164" ht="12.75" customHeight="1">
      <c r="A164" s="170"/>
      <c r="B164" s="170"/>
      <c r="C164" s="173"/>
      <c r="D164" s="170"/>
      <c r="E164" s="170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0"/>
      <c r="X164" s="170"/>
      <c r="Y164" s="170"/>
      <c r="Z164" s="170"/>
    </row>
    <row r="165" ht="12.75" customHeight="1">
      <c r="A165" s="170"/>
      <c r="B165" s="170"/>
      <c r="C165" s="173"/>
      <c r="D165" s="170"/>
      <c r="E165" s="170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0"/>
      <c r="X165" s="170"/>
      <c r="Y165" s="170"/>
      <c r="Z165" s="170"/>
    </row>
    <row r="166" ht="12.75" customHeight="1">
      <c r="A166" s="170"/>
      <c r="B166" s="170"/>
      <c r="C166" s="173"/>
      <c r="D166" s="170"/>
      <c r="E166" s="170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0"/>
      <c r="X166" s="170"/>
      <c r="Y166" s="170"/>
      <c r="Z166" s="170"/>
    </row>
    <row r="167" ht="12.75" customHeight="1">
      <c r="A167" s="170"/>
      <c r="B167" s="170"/>
      <c r="C167" s="173"/>
      <c r="D167" s="170"/>
      <c r="E167" s="170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0"/>
      <c r="X167" s="170"/>
      <c r="Y167" s="170"/>
      <c r="Z167" s="170"/>
    </row>
    <row r="168" ht="12.75" customHeight="1">
      <c r="A168" s="170"/>
      <c r="B168" s="170"/>
      <c r="C168" s="173"/>
      <c r="D168" s="170"/>
      <c r="E168" s="170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0"/>
      <c r="X168" s="170"/>
      <c r="Y168" s="170"/>
      <c r="Z168" s="170"/>
    </row>
    <row r="169" ht="12.75" customHeight="1">
      <c r="A169" s="170"/>
      <c r="B169" s="170"/>
      <c r="C169" s="173"/>
      <c r="D169" s="170"/>
      <c r="E169" s="170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0"/>
      <c r="X169" s="170"/>
      <c r="Y169" s="170"/>
      <c r="Z169" s="170"/>
    </row>
    <row r="170" ht="12.75" customHeight="1">
      <c r="A170" s="170"/>
      <c r="B170" s="170"/>
      <c r="C170" s="173"/>
      <c r="D170" s="170"/>
      <c r="E170" s="170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0"/>
      <c r="X170" s="170"/>
      <c r="Y170" s="170"/>
      <c r="Z170" s="170"/>
    </row>
    <row r="171" ht="12.75" customHeight="1">
      <c r="A171" s="170"/>
      <c r="B171" s="170"/>
      <c r="C171" s="173"/>
      <c r="D171" s="170"/>
      <c r="E171" s="170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0"/>
      <c r="X171" s="170"/>
      <c r="Y171" s="170"/>
      <c r="Z171" s="170"/>
    </row>
    <row r="172" ht="12.75" customHeight="1">
      <c r="A172" s="170"/>
      <c r="B172" s="170"/>
      <c r="C172" s="173"/>
      <c r="D172" s="170"/>
      <c r="E172" s="170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0"/>
      <c r="X172" s="170"/>
      <c r="Y172" s="170"/>
      <c r="Z172" s="170"/>
    </row>
    <row r="173" ht="12.75" customHeight="1">
      <c r="A173" s="170"/>
      <c r="B173" s="170"/>
      <c r="C173" s="173"/>
      <c r="D173" s="170"/>
      <c r="E173" s="170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0"/>
      <c r="X173" s="170"/>
      <c r="Y173" s="170"/>
      <c r="Z173" s="170"/>
    </row>
    <row r="174" ht="12.75" customHeight="1">
      <c r="A174" s="170"/>
      <c r="B174" s="170"/>
      <c r="C174" s="173"/>
      <c r="D174" s="170"/>
      <c r="E174" s="170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0"/>
      <c r="X174" s="170"/>
      <c r="Y174" s="170"/>
      <c r="Z174" s="170"/>
    </row>
    <row r="175" ht="12.75" customHeight="1">
      <c r="A175" s="170"/>
      <c r="B175" s="170"/>
      <c r="C175" s="173"/>
      <c r="D175" s="170"/>
      <c r="E175" s="170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0"/>
      <c r="X175" s="170"/>
      <c r="Y175" s="170"/>
      <c r="Z175" s="170"/>
    </row>
    <row r="176" ht="12.75" customHeight="1">
      <c r="A176" s="170"/>
      <c r="B176" s="170"/>
      <c r="C176" s="173"/>
      <c r="D176" s="170"/>
      <c r="E176" s="170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0"/>
      <c r="X176" s="170"/>
      <c r="Y176" s="170"/>
      <c r="Z176" s="170"/>
    </row>
    <row r="177" ht="12.75" customHeight="1">
      <c r="A177" s="170"/>
      <c r="B177" s="170"/>
      <c r="C177" s="173"/>
      <c r="D177" s="170"/>
      <c r="E177" s="170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0"/>
      <c r="X177" s="170"/>
      <c r="Y177" s="170"/>
      <c r="Z177" s="170"/>
    </row>
    <row r="178" ht="12.75" customHeight="1">
      <c r="A178" s="170"/>
      <c r="B178" s="170"/>
      <c r="C178" s="173"/>
      <c r="D178" s="170"/>
      <c r="E178" s="170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0"/>
      <c r="X178" s="170"/>
      <c r="Y178" s="170"/>
      <c r="Z178" s="170"/>
    </row>
    <row r="179" ht="12.75" customHeight="1">
      <c r="A179" s="170"/>
      <c r="B179" s="170"/>
      <c r="C179" s="173"/>
      <c r="D179" s="170"/>
      <c r="E179" s="170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0"/>
      <c r="X179" s="170"/>
      <c r="Y179" s="170"/>
      <c r="Z179" s="170"/>
    </row>
    <row r="180" ht="12.75" customHeight="1">
      <c r="A180" s="170"/>
      <c r="B180" s="170"/>
      <c r="C180" s="173"/>
      <c r="D180" s="170"/>
      <c r="E180" s="170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0"/>
      <c r="X180" s="170"/>
      <c r="Y180" s="170"/>
      <c r="Z180" s="170"/>
    </row>
    <row r="181" ht="12.75" customHeight="1">
      <c r="A181" s="170"/>
      <c r="B181" s="170"/>
      <c r="C181" s="173"/>
      <c r="D181" s="170"/>
      <c r="E181" s="170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0"/>
      <c r="X181" s="170"/>
      <c r="Y181" s="170"/>
      <c r="Z181" s="170"/>
    </row>
    <row r="182" ht="12.75" customHeight="1">
      <c r="A182" s="170"/>
      <c r="B182" s="170"/>
      <c r="C182" s="173"/>
      <c r="D182" s="170"/>
      <c r="E182" s="170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0"/>
      <c r="X182" s="170"/>
      <c r="Y182" s="170"/>
      <c r="Z182" s="170"/>
    </row>
    <row r="183" ht="12.75" customHeight="1">
      <c r="A183" s="170"/>
      <c r="B183" s="170"/>
      <c r="C183" s="173"/>
      <c r="D183" s="170"/>
      <c r="E183" s="170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0"/>
      <c r="X183" s="170"/>
      <c r="Y183" s="170"/>
      <c r="Z183" s="170"/>
    </row>
    <row r="184" ht="12.75" customHeight="1">
      <c r="A184" s="170"/>
      <c r="B184" s="170"/>
      <c r="C184" s="173"/>
      <c r="D184" s="170"/>
      <c r="E184" s="170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0"/>
      <c r="X184" s="170"/>
      <c r="Y184" s="170"/>
      <c r="Z184" s="170"/>
    </row>
    <row r="185" ht="12.75" customHeight="1">
      <c r="A185" s="170"/>
      <c r="B185" s="170"/>
      <c r="C185" s="173"/>
      <c r="D185" s="170"/>
      <c r="E185" s="170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0"/>
      <c r="X185" s="170"/>
      <c r="Y185" s="170"/>
      <c r="Z185" s="170"/>
    </row>
    <row r="186" ht="12.75" customHeight="1">
      <c r="A186" s="170"/>
      <c r="B186" s="170"/>
      <c r="C186" s="173"/>
      <c r="D186" s="170"/>
      <c r="E186" s="170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0"/>
      <c r="X186" s="170"/>
      <c r="Y186" s="170"/>
      <c r="Z186" s="170"/>
    </row>
    <row r="187" ht="12.75" customHeight="1">
      <c r="A187" s="170"/>
      <c r="B187" s="170"/>
      <c r="C187" s="173"/>
      <c r="D187" s="170"/>
      <c r="E187" s="170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0"/>
      <c r="X187" s="170"/>
      <c r="Y187" s="170"/>
      <c r="Z187" s="170"/>
    </row>
    <row r="188" ht="12.75" customHeight="1">
      <c r="A188" s="170"/>
      <c r="B188" s="170"/>
      <c r="C188" s="173"/>
      <c r="D188" s="170"/>
      <c r="E188" s="170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0"/>
      <c r="X188" s="170"/>
      <c r="Y188" s="170"/>
      <c r="Z188" s="170"/>
    </row>
    <row r="189" ht="12.75" customHeight="1">
      <c r="A189" s="170"/>
      <c r="B189" s="170"/>
      <c r="C189" s="173"/>
      <c r="D189" s="170"/>
      <c r="E189" s="170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0"/>
      <c r="X189" s="170"/>
      <c r="Y189" s="170"/>
      <c r="Z189" s="170"/>
    </row>
    <row r="190" ht="12.75" customHeight="1">
      <c r="A190" s="170"/>
      <c r="B190" s="170"/>
      <c r="C190" s="173"/>
      <c r="D190" s="170"/>
      <c r="E190" s="170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0"/>
      <c r="X190" s="170"/>
      <c r="Y190" s="170"/>
      <c r="Z190" s="170"/>
    </row>
    <row r="191" ht="12.75" customHeight="1">
      <c r="A191" s="170"/>
      <c r="B191" s="170"/>
      <c r="C191" s="173"/>
      <c r="D191" s="170"/>
      <c r="E191" s="170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0"/>
      <c r="X191" s="170"/>
      <c r="Y191" s="170"/>
      <c r="Z191" s="170"/>
    </row>
    <row r="192" ht="12.75" customHeight="1">
      <c r="A192" s="170"/>
      <c r="B192" s="170"/>
      <c r="C192" s="173"/>
      <c r="D192" s="170"/>
      <c r="E192" s="170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0"/>
      <c r="X192" s="170"/>
      <c r="Y192" s="170"/>
      <c r="Z192" s="170"/>
    </row>
    <row r="193" ht="12.75" customHeight="1">
      <c r="A193" s="170"/>
      <c r="B193" s="170"/>
      <c r="C193" s="173"/>
      <c r="D193" s="170"/>
      <c r="E193" s="170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0"/>
      <c r="X193" s="170"/>
      <c r="Y193" s="170"/>
      <c r="Z193" s="170"/>
    </row>
    <row r="194" ht="12.75" customHeight="1">
      <c r="A194" s="170"/>
      <c r="B194" s="170"/>
      <c r="C194" s="173"/>
      <c r="D194" s="170"/>
      <c r="E194" s="170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0"/>
      <c r="X194" s="170"/>
      <c r="Y194" s="170"/>
      <c r="Z194" s="170"/>
    </row>
    <row r="195" ht="12.75" customHeight="1">
      <c r="A195" s="170"/>
      <c r="B195" s="170"/>
      <c r="C195" s="173"/>
      <c r="D195" s="170"/>
      <c r="E195" s="170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0"/>
      <c r="X195" s="170"/>
      <c r="Y195" s="170"/>
      <c r="Z195" s="170"/>
    </row>
    <row r="196" ht="12.75" customHeight="1">
      <c r="A196" s="170"/>
      <c r="B196" s="170"/>
      <c r="C196" s="173"/>
      <c r="D196" s="170"/>
      <c r="E196" s="170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0"/>
      <c r="X196" s="170"/>
      <c r="Y196" s="170"/>
      <c r="Z196" s="170"/>
    </row>
    <row r="197" ht="12.75" customHeight="1">
      <c r="A197" s="170"/>
      <c r="B197" s="170"/>
      <c r="C197" s="173"/>
      <c r="D197" s="170"/>
      <c r="E197" s="170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0"/>
      <c r="X197" s="170"/>
      <c r="Y197" s="170"/>
      <c r="Z197" s="170"/>
    </row>
    <row r="198" ht="12.75" customHeight="1">
      <c r="A198" s="170"/>
      <c r="B198" s="170"/>
      <c r="C198" s="173"/>
      <c r="D198" s="170"/>
      <c r="E198" s="170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0"/>
      <c r="X198" s="170"/>
      <c r="Y198" s="170"/>
      <c r="Z198" s="170"/>
    </row>
    <row r="199" ht="12.75" customHeight="1">
      <c r="A199" s="170"/>
      <c r="B199" s="170"/>
      <c r="C199" s="173"/>
      <c r="D199" s="170"/>
      <c r="E199" s="170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0"/>
      <c r="X199" s="170"/>
      <c r="Y199" s="170"/>
      <c r="Z199" s="170"/>
    </row>
    <row r="200" ht="12.75" customHeight="1">
      <c r="A200" s="170"/>
      <c r="B200" s="170"/>
      <c r="C200" s="173"/>
      <c r="D200" s="170"/>
      <c r="E200" s="170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0"/>
      <c r="X200" s="170"/>
      <c r="Y200" s="170"/>
      <c r="Z200" s="170"/>
    </row>
    <row r="201" ht="12.75" customHeight="1">
      <c r="A201" s="170"/>
      <c r="B201" s="170"/>
      <c r="C201" s="173"/>
      <c r="D201" s="170"/>
      <c r="E201" s="170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0"/>
      <c r="X201" s="170"/>
      <c r="Y201" s="170"/>
      <c r="Z201" s="170"/>
    </row>
    <row r="202" ht="12.75" customHeight="1">
      <c r="A202" s="170"/>
      <c r="B202" s="170"/>
      <c r="C202" s="173"/>
      <c r="D202" s="170"/>
      <c r="E202" s="170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0"/>
      <c r="X202" s="170"/>
      <c r="Y202" s="170"/>
      <c r="Z202" s="170"/>
    </row>
    <row r="203" ht="12.75" customHeight="1">
      <c r="A203" s="170"/>
      <c r="B203" s="170"/>
      <c r="C203" s="173"/>
      <c r="D203" s="170"/>
      <c r="E203" s="170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0"/>
      <c r="X203" s="170"/>
      <c r="Y203" s="170"/>
      <c r="Z203" s="170"/>
    </row>
    <row r="204" ht="12.75" customHeight="1">
      <c r="A204" s="170"/>
      <c r="B204" s="170"/>
      <c r="C204" s="173"/>
      <c r="D204" s="170"/>
      <c r="E204" s="170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0"/>
      <c r="X204" s="170"/>
      <c r="Y204" s="170"/>
      <c r="Z204" s="170"/>
    </row>
    <row r="205" ht="12.75" customHeight="1">
      <c r="A205" s="170"/>
      <c r="B205" s="170"/>
      <c r="C205" s="173"/>
      <c r="D205" s="170"/>
      <c r="E205" s="170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0"/>
      <c r="X205" s="170"/>
      <c r="Y205" s="170"/>
      <c r="Z205" s="170"/>
    </row>
    <row r="206" ht="12.75" customHeight="1">
      <c r="A206" s="170"/>
      <c r="B206" s="170"/>
      <c r="C206" s="173"/>
      <c r="D206" s="170"/>
      <c r="E206" s="170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0"/>
      <c r="X206" s="170"/>
      <c r="Y206" s="170"/>
      <c r="Z206" s="170"/>
    </row>
    <row r="207" ht="12.75" customHeight="1">
      <c r="A207" s="170"/>
      <c r="B207" s="170"/>
      <c r="C207" s="173"/>
      <c r="D207" s="170"/>
      <c r="E207" s="170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0"/>
      <c r="X207" s="170"/>
      <c r="Y207" s="170"/>
      <c r="Z207" s="170"/>
    </row>
    <row r="208" ht="12.75" customHeight="1">
      <c r="A208" s="170"/>
      <c r="B208" s="170"/>
      <c r="C208" s="173"/>
      <c r="D208" s="170"/>
      <c r="E208" s="170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0"/>
      <c r="X208" s="170"/>
      <c r="Y208" s="170"/>
      <c r="Z208" s="170"/>
    </row>
    <row r="209" ht="12.75" customHeight="1">
      <c r="A209" s="170"/>
      <c r="B209" s="170"/>
      <c r="C209" s="173"/>
      <c r="D209" s="170"/>
      <c r="E209" s="170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0"/>
      <c r="X209" s="170"/>
      <c r="Y209" s="170"/>
      <c r="Z209" s="170"/>
    </row>
    <row r="210" ht="12.75" customHeight="1">
      <c r="A210" s="170"/>
      <c r="B210" s="170"/>
      <c r="C210" s="173"/>
      <c r="D210" s="170"/>
      <c r="E210" s="170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0"/>
      <c r="X210" s="170"/>
      <c r="Y210" s="170"/>
      <c r="Z210" s="170"/>
    </row>
    <row r="211" ht="12.75" customHeight="1">
      <c r="A211" s="170"/>
      <c r="B211" s="170"/>
      <c r="C211" s="173"/>
      <c r="D211" s="170"/>
      <c r="E211" s="170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0"/>
      <c r="X211" s="170"/>
      <c r="Y211" s="170"/>
      <c r="Z211" s="170"/>
    </row>
    <row r="212" ht="12.75" customHeight="1">
      <c r="A212" s="170"/>
      <c r="B212" s="170"/>
      <c r="C212" s="173"/>
      <c r="D212" s="170"/>
      <c r="E212" s="170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0"/>
      <c r="X212" s="170"/>
      <c r="Y212" s="170"/>
      <c r="Z212" s="170"/>
    </row>
    <row r="213" ht="12.75" customHeight="1">
      <c r="A213" s="170"/>
      <c r="B213" s="170"/>
      <c r="C213" s="173"/>
      <c r="D213" s="170"/>
      <c r="E213" s="170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0"/>
      <c r="X213" s="170"/>
      <c r="Y213" s="170"/>
      <c r="Z213" s="170"/>
    </row>
    <row r="214" ht="12.75" customHeight="1">
      <c r="A214" s="170"/>
      <c r="B214" s="170"/>
      <c r="C214" s="173"/>
      <c r="D214" s="170"/>
      <c r="E214" s="170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0"/>
      <c r="X214" s="170"/>
      <c r="Y214" s="170"/>
      <c r="Z214" s="170"/>
    </row>
    <row r="215" ht="12.75" customHeight="1">
      <c r="A215" s="170"/>
      <c r="B215" s="170"/>
      <c r="C215" s="173"/>
      <c r="D215" s="170"/>
      <c r="E215" s="170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0"/>
      <c r="X215" s="170"/>
      <c r="Y215" s="170"/>
      <c r="Z215" s="170"/>
    </row>
    <row r="216" ht="12.75" customHeight="1">
      <c r="A216" s="170"/>
      <c r="B216" s="170"/>
      <c r="C216" s="173"/>
      <c r="D216" s="170"/>
      <c r="E216" s="170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0"/>
      <c r="X216" s="170"/>
      <c r="Y216" s="170"/>
      <c r="Z216" s="170"/>
    </row>
    <row r="217" ht="12.75" customHeight="1">
      <c r="A217" s="170"/>
      <c r="B217" s="170"/>
      <c r="C217" s="173"/>
      <c r="D217" s="170"/>
      <c r="E217" s="170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0"/>
      <c r="X217" s="170"/>
      <c r="Y217" s="170"/>
      <c r="Z217" s="170"/>
    </row>
    <row r="218" ht="12.75" customHeight="1">
      <c r="A218" s="170"/>
      <c r="B218" s="170"/>
      <c r="C218" s="173"/>
      <c r="D218" s="170"/>
      <c r="E218" s="170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0"/>
      <c r="X218" s="170"/>
      <c r="Y218" s="170"/>
      <c r="Z218" s="170"/>
    </row>
    <row r="219" ht="12.75" customHeight="1">
      <c r="A219" s="170"/>
      <c r="B219" s="170"/>
      <c r="C219" s="173"/>
      <c r="D219" s="170"/>
      <c r="E219" s="170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0"/>
      <c r="X219" s="170"/>
      <c r="Y219" s="170"/>
      <c r="Z219" s="170"/>
    </row>
    <row r="220" ht="12.75" customHeight="1">
      <c r="A220" s="170"/>
      <c r="B220" s="170"/>
      <c r="C220" s="173"/>
      <c r="D220" s="170"/>
      <c r="E220" s="170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0"/>
      <c r="X220" s="170"/>
      <c r="Y220" s="170"/>
      <c r="Z220" s="170"/>
    </row>
    <row r="221" ht="12.75" customHeight="1">
      <c r="A221" s="170"/>
      <c r="B221" s="170"/>
      <c r="C221" s="173"/>
      <c r="D221" s="170"/>
      <c r="E221" s="170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0"/>
      <c r="X221" s="170"/>
      <c r="Y221" s="170"/>
      <c r="Z221" s="170"/>
    </row>
    <row r="222" ht="12.75" customHeight="1">
      <c r="A222" s="170"/>
      <c r="B222" s="170"/>
      <c r="C222" s="173"/>
      <c r="D222" s="170"/>
      <c r="E222" s="170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0"/>
      <c r="X222" s="170"/>
      <c r="Y222" s="170"/>
      <c r="Z222" s="170"/>
    </row>
    <row r="223" ht="12.75" customHeight="1">
      <c r="A223" s="170"/>
      <c r="B223" s="170"/>
      <c r="C223" s="173"/>
      <c r="D223" s="170"/>
      <c r="E223" s="170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0"/>
      <c r="X223" s="170"/>
      <c r="Y223" s="170"/>
      <c r="Z223" s="170"/>
    </row>
    <row r="224" ht="12.75" customHeight="1">
      <c r="A224" s="170"/>
      <c r="B224" s="170"/>
      <c r="C224" s="173"/>
      <c r="D224" s="170"/>
      <c r="E224" s="170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0"/>
      <c r="X224" s="170"/>
      <c r="Y224" s="170"/>
      <c r="Z224" s="170"/>
    </row>
    <row r="225" ht="12.75" customHeight="1">
      <c r="A225" s="170"/>
      <c r="B225" s="170"/>
      <c r="C225" s="173"/>
      <c r="D225" s="170"/>
      <c r="E225" s="170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0"/>
      <c r="X225" s="170"/>
      <c r="Y225" s="170"/>
      <c r="Z225" s="170"/>
    </row>
    <row r="226" ht="12.75" customHeight="1">
      <c r="A226" s="170"/>
      <c r="B226" s="170"/>
      <c r="C226" s="173"/>
      <c r="D226" s="170"/>
      <c r="E226" s="170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0"/>
      <c r="X226" s="170"/>
      <c r="Y226" s="170"/>
      <c r="Z226" s="17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2">
    <mergeCell ref="D15:E15"/>
    <mergeCell ref="D16:E16"/>
  </mergeCells>
  <dataValidations>
    <dataValidation type="list" allowBlank="1" sqref="E18:E27">
      <formula1>"Planeado,En Marcha,Listo"</formula1>
    </dataValidation>
    <dataValidation type="list" allowBlank="1" sqref="E3:E13">
      <formula1>"Planned,Ongoing,Done"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0"/>
    <col customWidth="1" min="2" max="2" width="32.67"/>
    <col customWidth="1" min="3" max="3" width="7.11"/>
    <col customWidth="1" min="4" max="4" width="10.44"/>
    <col customWidth="1" min="5" max="5" width="6.33"/>
    <col customWidth="1" min="6" max="6" width="7.22"/>
    <col customWidth="1" min="7" max="22" width="3.89"/>
    <col customWidth="1" min="23" max="23" width="10.44"/>
    <col customWidth="1" min="24" max="26" width="8.0"/>
  </cols>
  <sheetData>
    <row r="1" ht="12.75" customHeight="1">
      <c r="A1" s="170"/>
      <c r="B1" s="171">
        <v>4.0</v>
      </c>
      <c r="C1" s="172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2.75" customHeight="1">
      <c r="A2" s="170"/>
      <c r="B2" s="170"/>
      <c r="C2" s="173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2.75" customHeight="1">
      <c r="A3" s="170"/>
      <c r="B3" s="170"/>
      <c r="C3" s="173"/>
      <c r="D3" s="170"/>
      <c r="E3" s="170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0"/>
      <c r="X3" s="170"/>
      <c r="Y3" s="170"/>
      <c r="Z3" s="170"/>
    </row>
    <row r="4" ht="12.75" customHeight="1">
      <c r="A4" s="170"/>
      <c r="B4" s="170"/>
      <c r="C4" s="173"/>
      <c r="D4" s="170"/>
      <c r="E4" s="170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0"/>
      <c r="X4" s="170"/>
      <c r="Y4" s="170"/>
      <c r="Z4" s="170"/>
    </row>
    <row r="5" ht="12.75" customHeight="1">
      <c r="A5" s="170"/>
      <c r="B5" s="170"/>
      <c r="C5" s="173"/>
      <c r="D5" s="170"/>
      <c r="E5" s="170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0"/>
      <c r="X5" s="170"/>
      <c r="Y5" s="170"/>
      <c r="Z5" s="170"/>
    </row>
    <row r="6" ht="12.75" customHeight="1">
      <c r="A6" s="170"/>
      <c r="B6" s="170"/>
      <c r="C6" s="173"/>
      <c r="D6" s="170"/>
      <c r="E6" s="170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0"/>
      <c r="X6" s="170"/>
      <c r="Y6" s="170"/>
      <c r="Z6" s="170"/>
    </row>
    <row r="7" ht="12.75" customHeight="1">
      <c r="A7" s="170"/>
      <c r="B7" s="170"/>
      <c r="C7" s="173"/>
      <c r="D7" s="170"/>
      <c r="E7" s="170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0"/>
      <c r="X7" s="170"/>
      <c r="Y7" s="170"/>
      <c r="Z7" s="170"/>
    </row>
    <row r="8" ht="12.75" customHeight="1">
      <c r="A8" s="170"/>
      <c r="B8" s="170"/>
      <c r="C8" s="173"/>
      <c r="D8" s="170"/>
      <c r="E8" s="170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0"/>
      <c r="X8" s="170"/>
      <c r="Y8" s="170"/>
      <c r="Z8" s="170"/>
    </row>
    <row r="9" ht="12.75" customHeight="1">
      <c r="A9" s="170"/>
      <c r="B9" s="170"/>
      <c r="C9" s="173"/>
      <c r="D9" s="170"/>
      <c r="E9" s="170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0"/>
      <c r="X9" s="170"/>
      <c r="Y9" s="170"/>
      <c r="Z9" s="170"/>
    </row>
    <row r="10" ht="12.75" customHeight="1">
      <c r="A10" s="170"/>
      <c r="B10" s="170"/>
      <c r="C10" s="173"/>
      <c r="D10" s="170"/>
      <c r="E10" s="170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0"/>
      <c r="X10" s="170"/>
      <c r="Y10" s="170"/>
      <c r="Z10" s="170"/>
    </row>
    <row r="11" ht="12.75" customHeight="1">
      <c r="A11" s="170"/>
      <c r="B11" s="170"/>
      <c r="C11" s="173"/>
      <c r="D11" s="170"/>
      <c r="E11" s="170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0"/>
      <c r="X11" s="170"/>
      <c r="Y11" s="170"/>
      <c r="Z11" s="170"/>
    </row>
    <row r="12" ht="12.75" customHeight="1">
      <c r="A12" s="170"/>
      <c r="B12" s="170"/>
      <c r="C12" s="173"/>
      <c r="D12" s="170"/>
      <c r="E12" s="170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0"/>
      <c r="X12" s="170"/>
      <c r="Y12" s="170"/>
      <c r="Z12" s="170"/>
    </row>
    <row r="13" ht="12.75" customHeight="1">
      <c r="A13" s="170"/>
      <c r="B13" s="170"/>
      <c r="C13" s="173"/>
      <c r="D13" s="170"/>
      <c r="E13" s="170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0"/>
      <c r="X13" s="170"/>
      <c r="Y13" s="170"/>
      <c r="Z13" s="170"/>
    </row>
    <row r="14" ht="12.75" customHeight="1">
      <c r="A14" s="170"/>
      <c r="B14" s="174" t="s">
        <v>298</v>
      </c>
      <c r="C14" s="175">
        <v>6.0</v>
      </c>
      <c r="D14" s="174" t="s">
        <v>299</v>
      </c>
      <c r="E14" s="174" t="s">
        <v>300</v>
      </c>
      <c r="F14" s="176" t="s">
        <v>170</v>
      </c>
      <c r="G14" s="174" t="s">
        <v>301</v>
      </c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0"/>
      <c r="X14" s="170"/>
      <c r="Y14" s="170"/>
      <c r="Z14" s="170"/>
    </row>
    <row r="15" ht="15.75" customHeight="1">
      <c r="A15" s="178"/>
      <c r="B15" s="178"/>
      <c r="C15" s="178"/>
      <c r="D15" s="179" t="s">
        <v>302</v>
      </c>
      <c r="F15" s="179">
        <f>SUM(F18:F29)</f>
        <v>49</v>
      </c>
      <c r="G15" s="178">
        <f>'Sp4'!TaskRows-SUM(G18:G22)</f>
        <v>41</v>
      </c>
      <c r="H15" s="179">
        <f t="shared" ref="H15:O15" si="1">G15-SUM(H18:H22)</f>
        <v>36</v>
      </c>
      <c r="I15" s="179">
        <f t="shared" si="1"/>
        <v>31</v>
      </c>
      <c r="J15" s="179">
        <f t="shared" si="1"/>
        <v>23</v>
      </c>
      <c r="K15" s="179">
        <f t="shared" si="1"/>
        <v>20</v>
      </c>
      <c r="L15" s="179">
        <f t="shared" si="1"/>
        <v>20</v>
      </c>
      <c r="M15" s="179">
        <f t="shared" si="1"/>
        <v>20</v>
      </c>
      <c r="N15" s="179">
        <f t="shared" si="1"/>
        <v>20</v>
      </c>
      <c r="O15" s="179">
        <f t="shared" si="1"/>
        <v>20</v>
      </c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 ht="15.75" customHeight="1">
      <c r="A16" s="178"/>
      <c r="B16" s="178"/>
      <c r="C16" s="178"/>
      <c r="D16" s="180" t="s">
        <v>303</v>
      </c>
      <c r="F16" s="179">
        <f>SUM(F18:F29)</f>
        <v>49</v>
      </c>
      <c r="G16" s="206">
        <f>F16-(SUM($F$18:$F$29)/'Sp4'!ImplementationDays)</f>
        <v>40.83333333</v>
      </c>
      <c r="H16" s="206">
        <f>G16-(SUM($F$18:$F$29)/'Sp4'!ImplementationDays)</f>
        <v>32.66666667</v>
      </c>
      <c r="I16" s="206">
        <f>H16-(SUM($F$18:$F$29)/'Sp4'!ImplementationDays)</f>
        <v>24.5</v>
      </c>
      <c r="J16" s="206">
        <f>I16-(SUM($F$18:$F$29)/'Sp4'!ImplementationDays)</f>
        <v>16.33333333</v>
      </c>
      <c r="K16" s="206">
        <f>J16-(SUM($F$18:$F$29)/'Sp4'!ImplementationDays)</f>
        <v>8.166666667</v>
      </c>
      <c r="L16" s="206">
        <f>K16-(SUM($F$18:$F$29)/'Sp4'!ImplementationDays)</f>
        <v>0</v>
      </c>
      <c r="M16" s="206">
        <f>L16-(SUM($F$18:$F$29)/'Sp4'!ImplementationDays)</f>
        <v>-8.166666667</v>
      </c>
      <c r="N16" s="206">
        <f>M16-(SUM($F$18:$F$29)/'Sp4'!ImplementationDays)</f>
        <v>-16.33333333</v>
      </c>
      <c r="O16" s="206">
        <f>N16-(SUM($F$18:$F$29)/'Sp4'!ImplementationDays)</f>
        <v>-24.5</v>
      </c>
      <c r="P16" s="206">
        <f>O16-(SUM($F$18:$F$29)/'Sp4'!ImplementationDays)</f>
        <v>-32.66666667</v>
      </c>
      <c r="Q16" s="206">
        <f>P16-(SUM($F$18:$F$29)/'Sp4'!ImplementationDays)</f>
        <v>-40.83333333</v>
      </c>
      <c r="R16" s="206">
        <f>Q16-(SUM($F$18:$F$29)/'Sp4'!ImplementationDays)</f>
        <v>-49</v>
      </c>
      <c r="S16" s="206">
        <f>R16-(SUM($F$18:$F$29)/'Sp4'!ImplementationDays)</f>
        <v>-57.16666667</v>
      </c>
      <c r="T16" s="206">
        <f>S16-(SUM($F$18:$F$29)/'Sp4'!ImplementationDays)</f>
        <v>-65.33333333</v>
      </c>
      <c r="U16" s="206">
        <f>T16-(SUM($F$18:$F$29)/'Sp4'!ImplementationDays)</f>
        <v>-73.5</v>
      </c>
      <c r="V16" s="206">
        <f>U16-(SUM($F$18:$F$29)/'Sp4'!ImplementationDays)</f>
        <v>-81.66666667</v>
      </c>
      <c r="W16" s="178"/>
      <c r="X16" s="178"/>
      <c r="Y16" s="178"/>
      <c r="Z16" s="178"/>
    </row>
    <row r="17" ht="12.75" customHeight="1">
      <c r="A17" s="170"/>
      <c r="B17" s="194" t="s">
        <v>317</v>
      </c>
      <c r="C17" s="184" t="s">
        <v>305</v>
      </c>
      <c r="D17" s="183" t="s">
        <v>306</v>
      </c>
      <c r="E17" s="183" t="s">
        <v>307</v>
      </c>
      <c r="F17" s="184" t="s">
        <v>308</v>
      </c>
      <c r="G17" s="184">
        <v>1.0</v>
      </c>
      <c r="H17" s="184">
        <f t="shared" ref="H17:V17" si="2">IF($C$14&gt;G17,G17+1,"")</f>
        <v>2</v>
      </c>
      <c r="I17" s="184">
        <f t="shared" si="2"/>
        <v>3</v>
      </c>
      <c r="J17" s="184">
        <f t="shared" si="2"/>
        <v>4</v>
      </c>
      <c r="K17" s="184">
        <f t="shared" si="2"/>
        <v>5</v>
      </c>
      <c r="L17" s="184">
        <f t="shared" si="2"/>
        <v>6</v>
      </c>
      <c r="M17" s="184" t="str">
        <f t="shared" si="2"/>
        <v/>
      </c>
      <c r="N17" s="184" t="str">
        <f t="shared" si="2"/>
        <v/>
      </c>
      <c r="O17" s="184" t="str">
        <f t="shared" si="2"/>
        <v/>
      </c>
      <c r="P17" s="184" t="str">
        <f t="shared" si="2"/>
        <v/>
      </c>
      <c r="Q17" s="184" t="str">
        <f t="shared" si="2"/>
        <v/>
      </c>
      <c r="R17" s="184" t="str">
        <f t="shared" si="2"/>
        <v/>
      </c>
      <c r="S17" s="184" t="str">
        <f t="shared" si="2"/>
        <v/>
      </c>
      <c r="T17" s="184" t="str">
        <f t="shared" si="2"/>
        <v/>
      </c>
      <c r="U17" s="184" t="str">
        <f t="shared" si="2"/>
        <v/>
      </c>
      <c r="V17" s="184" t="str">
        <f t="shared" si="2"/>
        <v/>
      </c>
      <c r="W17" s="185" t="s">
        <v>309</v>
      </c>
      <c r="X17" s="170"/>
      <c r="Y17" s="170"/>
      <c r="Z17" s="170"/>
    </row>
    <row r="18" ht="24.0" customHeight="1">
      <c r="A18" s="170"/>
      <c r="B18" s="207" t="s">
        <v>219</v>
      </c>
      <c r="C18" s="208" t="s">
        <v>105</v>
      </c>
      <c r="D18" s="209" t="s">
        <v>156</v>
      </c>
      <c r="E18" s="210" t="s">
        <v>274</v>
      </c>
      <c r="F18" s="190">
        <v>8.0</v>
      </c>
      <c r="G18" s="188">
        <v>8.0</v>
      </c>
      <c r="H18" s="187"/>
      <c r="I18" s="188"/>
      <c r="J18" s="188"/>
      <c r="K18" s="187"/>
      <c r="L18" s="188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90">
        <f t="shared" ref="W18:W22" si="3">SUM(G18:V18)</f>
        <v>8</v>
      </c>
      <c r="X18" s="170"/>
      <c r="Y18" s="170"/>
      <c r="Z18" s="170"/>
    </row>
    <row r="19" ht="26.25" customHeight="1">
      <c r="A19" s="170"/>
      <c r="B19" s="207" t="s">
        <v>221</v>
      </c>
      <c r="C19" s="208" t="s">
        <v>105</v>
      </c>
      <c r="D19" s="209" t="s">
        <v>156</v>
      </c>
      <c r="E19" s="210" t="s">
        <v>274</v>
      </c>
      <c r="F19" s="191">
        <v>5.0</v>
      </c>
      <c r="G19" s="188"/>
      <c r="H19" s="188">
        <v>5.0</v>
      </c>
      <c r="I19" s="188"/>
      <c r="J19" s="188"/>
      <c r="K19" s="188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90">
        <f t="shared" si="3"/>
        <v>5</v>
      </c>
      <c r="X19" s="170"/>
      <c r="Y19" s="170"/>
      <c r="Z19" s="170"/>
    </row>
    <row r="20" ht="24.75" customHeight="1">
      <c r="A20" s="170"/>
      <c r="B20" s="207" t="s">
        <v>222</v>
      </c>
      <c r="C20" s="208" t="s">
        <v>105</v>
      </c>
      <c r="D20" s="209" t="s">
        <v>156</v>
      </c>
      <c r="E20" s="210" t="s">
        <v>274</v>
      </c>
      <c r="F20" s="191">
        <v>5.0</v>
      </c>
      <c r="G20" s="188"/>
      <c r="H20" s="187"/>
      <c r="I20" s="188">
        <v>5.0</v>
      </c>
      <c r="J20" s="188"/>
      <c r="K20" s="188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90">
        <f t="shared" si="3"/>
        <v>5</v>
      </c>
      <c r="X20" s="170"/>
      <c r="Y20" s="170"/>
      <c r="Z20" s="170"/>
    </row>
    <row r="21" ht="24.0" customHeight="1">
      <c r="A21" s="170"/>
      <c r="B21" s="207" t="s">
        <v>223</v>
      </c>
      <c r="C21" s="208" t="s">
        <v>108</v>
      </c>
      <c r="D21" s="209" t="s">
        <v>157</v>
      </c>
      <c r="E21" s="210" t="s">
        <v>274</v>
      </c>
      <c r="F21" s="190">
        <v>8.0</v>
      </c>
      <c r="G21" s="188"/>
      <c r="H21" s="187"/>
      <c r="I21" s="188"/>
      <c r="J21" s="188">
        <v>8.0</v>
      </c>
      <c r="K21" s="188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90">
        <f t="shared" si="3"/>
        <v>8</v>
      </c>
      <c r="X21" s="170"/>
      <c r="Y21" s="170"/>
      <c r="Z21" s="170"/>
    </row>
    <row r="22" ht="20.25" customHeight="1">
      <c r="A22" s="170"/>
      <c r="B22" s="207" t="s">
        <v>224</v>
      </c>
      <c r="C22" s="208" t="s">
        <v>108</v>
      </c>
      <c r="D22" s="209" t="s">
        <v>157</v>
      </c>
      <c r="E22" s="210" t="s">
        <v>274</v>
      </c>
      <c r="F22" s="191">
        <v>3.0</v>
      </c>
      <c r="G22" s="188"/>
      <c r="H22" s="188"/>
      <c r="I22" s="188"/>
      <c r="J22" s="188"/>
      <c r="K22" s="188">
        <v>3.0</v>
      </c>
      <c r="L22" s="188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90">
        <f t="shared" si="3"/>
        <v>3</v>
      </c>
      <c r="X22" s="170"/>
      <c r="Y22" s="170"/>
      <c r="Z22" s="170"/>
    </row>
    <row r="23" ht="23.25" customHeight="1">
      <c r="A23" s="170"/>
      <c r="B23" s="207" t="s">
        <v>225</v>
      </c>
      <c r="C23" s="208" t="s">
        <v>111</v>
      </c>
      <c r="D23" s="211" t="s">
        <v>158</v>
      </c>
      <c r="E23" s="211" t="s">
        <v>274</v>
      </c>
      <c r="F23" s="191">
        <v>3.0</v>
      </c>
      <c r="G23" s="188">
        <v>3.0</v>
      </c>
      <c r="H23" s="188"/>
      <c r="I23" s="188"/>
      <c r="J23" s="188"/>
      <c r="K23" s="188"/>
      <c r="L23" s="188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91">
        <f t="shared" ref="W23:W29" si="4">SUM(G23:L23)</f>
        <v>3</v>
      </c>
      <c r="X23" s="170"/>
      <c r="Y23" s="170"/>
      <c r="Z23" s="170"/>
    </row>
    <row r="24" ht="29.25" customHeight="1">
      <c r="A24" s="170"/>
      <c r="B24" s="207" t="s">
        <v>226</v>
      </c>
      <c r="C24" s="208" t="s">
        <v>111</v>
      </c>
      <c r="D24" s="211" t="s">
        <v>158</v>
      </c>
      <c r="E24" s="211" t="s">
        <v>274</v>
      </c>
      <c r="F24" s="191">
        <v>4.0</v>
      </c>
      <c r="G24" s="188"/>
      <c r="H24" s="188">
        <v>4.0</v>
      </c>
      <c r="I24" s="188"/>
      <c r="J24" s="188"/>
      <c r="K24" s="188"/>
      <c r="L24" s="188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212">
        <f t="shared" si="4"/>
        <v>4</v>
      </c>
      <c r="X24" s="170"/>
      <c r="Y24" s="170"/>
      <c r="Z24" s="170"/>
    </row>
    <row r="25" ht="21.0" customHeight="1">
      <c r="A25" s="170"/>
      <c r="B25" s="207" t="s">
        <v>227</v>
      </c>
      <c r="C25" s="208" t="s">
        <v>111</v>
      </c>
      <c r="D25" s="211" t="s">
        <v>158</v>
      </c>
      <c r="E25" s="213" t="s">
        <v>274</v>
      </c>
      <c r="F25" s="191">
        <v>3.0</v>
      </c>
      <c r="G25" s="188"/>
      <c r="H25" s="187"/>
      <c r="I25" s="188">
        <v>3.0</v>
      </c>
      <c r="J25" s="188"/>
      <c r="K25" s="187"/>
      <c r="L25" s="187"/>
      <c r="M25" s="190"/>
      <c r="N25" s="190"/>
      <c r="O25" s="190"/>
      <c r="P25" s="190"/>
      <c r="Q25" s="190"/>
      <c r="R25" s="190"/>
      <c r="S25" s="190"/>
      <c r="T25" s="190"/>
      <c r="U25" s="190"/>
      <c r="V25" s="214"/>
      <c r="W25" s="190">
        <f t="shared" si="4"/>
        <v>3</v>
      </c>
      <c r="X25" s="215"/>
      <c r="Y25" s="170"/>
      <c r="Z25" s="170"/>
    </row>
    <row r="26" ht="24.75" customHeight="1">
      <c r="A26" s="170"/>
      <c r="B26" s="207" t="s">
        <v>228</v>
      </c>
      <c r="C26" s="208" t="s">
        <v>123</v>
      </c>
      <c r="D26" s="209" t="s">
        <v>159</v>
      </c>
      <c r="E26" s="213" t="s">
        <v>274</v>
      </c>
      <c r="F26" s="191">
        <v>3.0</v>
      </c>
      <c r="G26" s="188"/>
      <c r="H26" s="188"/>
      <c r="I26" s="188"/>
      <c r="J26" s="188">
        <v>3.0</v>
      </c>
      <c r="K26" s="188"/>
      <c r="L26" s="188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216">
        <f t="shared" si="4"/>
        <v>3</v>
      </c>
      <c r="X26" s="170"/>
      <c r="Y26" s="170"/>
      <c r="Z26" s="170"/>
    </row>
    <row r="27" ht="20.25" customHeight="1">
      <c r="A27" s="170"/>
      <c r="B27" s="207" t="s">
        <v>229</v>
      </c>
      <c r="C27" s="208" t="s">
        <v>123</v>
      </c>
      <c r="D27" s="209" t="s">
        <v>159</v>
      </c>
      <c r="E27" s="213" t="s">
        <v>274</v>
      </c>
      <c r="F27" s="191">
        <v>2.0</v>
      </c>
      <c r="G27" s="188"/>
      <c r="H27" s="188"/>
      <c r="I27" s="188"/>
      <c r="J27" s="188"/>
      <c r="K27" s="188">
        <v>2.0</v>
      </c>
      <c r="L27" s="188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>
        <f t="shared" si="4"/>
        <v>2</v>
      </c>
      <c r="X27" s="170"/>
      <c r="Y27" s="170"/>
      <c r="Z27" s="170"/>
    </row>
    <row r="28" ht="24.75" customHeight="1">
      <c r="A28" s="170"/>
      <c r="B28" s="207" t="s">
        <v>230</v>
      </c>
      <c r="C28" s="208" t="s">
        <v>126</v>
      </c>
      <c r="D28" s="209" t="s">
        <v>157</v>
      </c>
      <c r="E28" s="213" t="s">
        <v>274</v>
      </c>
      <c r="F28" s="191">
        <v>2.0</v>
      </c>
      <c r="G28" s="188"/>
      <c r="H28" s="188"/>
      <c r="I28" s="188"/>
      <c r="J28" s="217"/>
      <c r="K28" s="188"/>
      <c r="L28" s="188">
        <v>2.0</v>
      </c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>
        <f t="shared" si="4"/>
        <v>2</v>
      </c>
      <c r="X28" s="170"/>
      <c r="Y28" s="170"/>
      <c r="Z28" s="170"/>
    </row>
    <row r="29" ht="21.75" customHeight="1">
      <c r="A29" s="173"/>
      <c r="B29" s="207" t="s">
        <v>231</v>
      </c>
      <c r="C29" s="208" t="s">
        <v>126</v>
      </c>
      <c r="D29" s="209" t="s">
        <v>157</v>
      </c>
      <c r="E29" s="213" t="s">
        <v>274</v>
      </c>
      <c r="F29" s="191">
        <v>3.0</v>
      </c>
      <c r="G29" s="188"/>
      <c r="H29" s="188"/>
      <c r="I29" s="188"/>
      <c r="J29" s="188"/>
      <c r="K29" s="188"/>
      <c r="L29" s="188">
        <v>3.0</v>
      </c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>
        <f t="shared" si="4"/>
        <v>3</v>
      </c>
      <c r="X29" s="173"/>
      <c r="Y29" s="173"/>
      <c r="Z29" s="173"/>
    </row>
    <row r="30" ht="12.75" customHeight="1">
      <c r="A30" s="170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190">
        <f>SUM(W18:W29)</f>
        <v>49</v>
      </c>
      <c r="X30" s="170"/>
      <c r="Y30" s="170"/>
      <c r="Z30" s="170"/>
    </row>
    <row r="31" ht="12.75" customHeight="1">
      <c r="A31" s="170"/>
      <c r="B31" s="170"/>
      <c r="C31" s="173"/>
      <c r="D31" s="178"/>
      <c r="E31" s="170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0"/>
      <c r="X31" s="170"/>
      <c r="Z31" s="170"/>
    </row>
    <row r="32" ht="12.75" customHeight="1">
      <c r="A32" s="170"/>
      <c r="B32" s="170"/>
      <c r="C32" s="173"/>
      <c r="D32" s="178"/>
      <c r="E32" s="170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0"/>
      <c r="X32" s="170"/>
      <c r="Y32" s="170"/>
      <c r="Z32" s="170"/>
    </row>
    <row r="33" ht="12.75" customHeight="1">
      <c r="A33" s="170"/>
      <c r="B33" s="170"/>
      <c r="C33" s="173"/>
      <c r="D33" s="178"/>
      <c r="E33" s="170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0"/>
      <c r="X33" s="170"/>
      <c r="Y33" s="170"/>
      <c r="Z33" s="170"/>
    </row>
    <row r="34" ht="12.75" customHeight="1">
      <c r="A34" s="170"/>
      <c r="B34" s="170"/>
      <c r="C34" s="173"/>
      <c r="D34" s="178"/>
      <c r="E34" s="170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0"/>
      <c r="X34" s="170"/>
      <c r="Y34" s="170"/>
      <c r="Z34" s="170"/>
    </row>
    <row r="35" ht="12.75" customHeight="1">
      <c r="A35" s="170"/>
      <c r="B35" s="170"/>
      <c r="C35" s="173"/>
      <c r="D35" s="178"/>
      <c r="E35" s="170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0"/>
      <c r="X35" s="170"/>
      <c r="Y35" s="170"/>
      <c r="Z35" s="170"/>
    </row>
    <row r="36" ht="12.75" customHeight="1">
      <c r="A36" s="170"/>
      <c r="B36" s="170"/>
      <c r="C36" s="173"/>
      <c r="D36" s="178"/>
      <c r="E36" s="170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0"/>
      <c r="X36" s="170"/>
      <c r="Y36" s="170"/>
      <c r="Z36" s="170"/>
    </row>
    <row r="37" ht="12.75" customHeight="1">
      <c r="A37" s="170"/>
      <c r="B37" s="170"/>
      <c r="C37" s="173"/>
      <c r="D37" s="178"/>
      <c r="E37" s="170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0"/>
      <c r="X37" s="170"/>
      <c r="Y37" s="170"/>
      <c r="Z37" s="170"/>
    </row>
    <row r="38" ht="12.75" customHeight="1">
      <c r="A38" s="170"/>
      <c r="B38" s="170"/>
      <c r="C38" s="173"/>
      <c r="D38" s="178"/>
      <c r="E38" s="170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0"/>
      <c r="X38" s="170"/>
      <c r="Y38" s="170"/>
      <c r="Z38" s="170"/>
    </row>
    <row r="39" ht="12.75" customHeight="1">
      <c r="A39" s="170"/>
      <c r="B39" s="170"/>
      <c r="C39" s="173"/>
      <c r="D39" s="178"/>
      <c r="E39" s="170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0"/>
      <c r="X39" s="170"/>
      <c r="Y39" s="170"/>
      <c r="Z39" s="170"/>
    </row>
    <row r="40" ht="12.75" customHeight="1">
      <c r="A40" s="170"/>
      <c r="B40" s="170"/>
      <c r="C40" s="173"/>
      <c r="D40" s="178"/>
      <c r="E40" s="170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0"/>
      <c r="X40" s="170"/>
      <c r="Y40" s="170"/>
      <c r="Z40" s="170"/>
    </row>
    <row r="41" ht="12.75" customHeight="1">
      <c r="A41" s="170"/>
      <c r="B41" s="170"/>
      <c r="C41" s="173"/>
      <c r="D41" s="178"/>
      <c r="E41" s="170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0"/>
      <c r="X41" s="170"/>
      <c r="Y41" s="170"/>
      <c r="Z41" s="170"/>
    </row>
    <row r="42" ht="12.75" customHeight="1">
      <c r="A42" s="170"/>
      <c r="B42" s="170"/>
      <c r="C42" s="173"/>
      <c r="D42" s="178"/>
      <c r="E42" s="170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0"/>
      <c r="X42" s="170"/>
      <c r="Y42" s="170"/>
      <c r="Z42" s="170"/>
    </row>
    <row r="43" ht="12.75" customHeight="1">
      <c r="A43" s="170"/>
      <c r="B43" s="170"/>
      <c r="C43" s="173"/>
      <c r="D43" s="178"/>
      <c r="E43" s="170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0"/>
      <c r="X43" s="170"/>
      <c r="Y43" s="170"/>
      <c r="Z43" s="170"/>
    </row>
    <row r="44" ht="12.75" customHeight="1">
      <c r="A44" s="170"/>
      <c r="B44" s="170"/>
      <c r="C44" s="173"/>
      <c r="D44" s="178"/>
      <c r="E44" s="170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0"/>
      <c r="X44" s="170"/>
      <c r="Y44" s="170"/>
      <c r="Z44" s="170"/>
    </row>
    <row r="45" ht="12.75" customHeight="1">
      <c r="A45" s="170"/>
      <c r="B45" s="170"/>
      <c r="C45" s="173"/>
      <c r="D45" s="178"/>
      <c r="E45" s="170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0"/>
      <c r="X45" s="170"/>
      <c r="Y45" s="170"/>
      <c r="Z45" s="170"/>
    </row>
    <row r="46" ht="12.75" customHeight="1">
      <c r="A46" s="170"/>
      <c r="B46" s="170"/>
      <c r="C46" s="173"/>
      <c r="D46" s="178"/>
      <c r="E46" s="170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0"/>
      <c r="X46" s="170"/>
      <c r="Y46" s="170"/>
      <c r="Z46" s="170"/>
    </row>
    <row r="47" ht="12.75" customHeight="1">
      <c r="A47" s="170"/>
      <c r="B47" s="170"/>
      <c r="C47" s="173"/>
      <c r="D47" s="178"/>
      <c r="E47" s="170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0"/>
      <c r="X47" s="170"/>
      <c r="Y47" s="170"/>
      <c r="Z47" s="170"/>
    </row>
    <row r="48" ht="12.75" customHeight="1">
      <c r="A48" s="170"/>
      <c r="B48" s="170"/>
      <c r="C48" s="173"/>
      <c r="D48" s="178"/>
      <c r="E48" s="170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0"/>
      <c r="X48" s="170"/>
      <c r="Y48" s="170"/>
      <c r="Z48" s="170"/>
    </row>
    <row r="49" ht="12.75" customHeight="1">
      <c r="A49" s="170"/>
      <c r="B49" s="170"/>
      <c r="C49" s="173"/>
      <c r="D49" s="178"/>
      <c r="E49" s="170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0"/>
      <c r="X49" s="170"/>
      <c r="Y49" s="170"/>
      <c r="Z49" s="170"/>
    </row>
    <row r="50" ht="12.75" customHeight="1">
      <c r="A50" s="170"/>
      <c r="B50" s="170"/>
      <c r="C50" s="173"/>
      <c r="D50" s="178"/>
      <c r="E50" s="170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0"/>
      <c r="X50" s="170"/>
      <c r="Y50" s="170"/>
      <c r="Z50" s="170"/>
    </row>
    <row r="51" ht="12.75" customHeight="1">
      <c r="A51" s="170"/>
      <c r="B51" s="170"/>
      <c r="C51" s="173"/>
      <c r="D51" s="178"/>
      <c r="E51" s="170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0"/>
      <c r="X51" s="170"/>
      <c r="Y51" s="170"/>
      <c r="Z51" s="170"/>
    </row>
    <row r="52" ht="12.75" customHeight="1">
      <c r="A52" s="170"/>
      <c r="B52" s="170"/>
      <c r="C52" s="173"/>
      <c r="D52" s="178"/>
      <c r="E52" s="170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0"/>
      <c r="X52" s="170"/>
      <c r="Y52" s="170"/>
      <c r="Z52" s="170"/>
    </row>
    <row r="53" ht="12.75" customHeight="1">
      <c r="A53" s="170"/>
      <c r="B53" s="170"/>
      <c r="C53" s="173"/>
      <c r="D53" s="170"/>
      <c r="E53" s="170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0"/>
      <c r="X53" s="170"/>
      <c r="Y53" s="170"/>
      <c r="Z53" s="170"/>
    </row>
    <row r="54" ht="12.75" customHeight="1">
      <c r="A54" s="170"/>
      <c r="B54" s="170"/>
      <c r="C54" s="173"/>
      <c r="D54" s="170"/>
      <c r="E54" s="170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0"/>
      <c r="X54" s="170"/>
      <c r="Y54" s="170"/>
      <c r="Z54" s="170"/>
    </row>
    <row r="55" ht="12.75" customHeight="1">
      <c r="A55" s="170"/>
      <c r="B55" s="170"/>
      <c r="C55" s="173"/>
      <c r="D55" s="170"/>
      <c r="E55" s="170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0"/>
      <c r="X55" s="170"/>
      <c r="Y55" s="170"/>
      <c r="Z55" s="170"/>
    </row>
    <row r="56" ht="12.75" customHeight="1">
      <c r="A56" s="170"/>
      <c r="B56" s="170"/>
      <c r="C56" s="173"/>
      <c r="D56" s="170"/>
      <c r="E56" s="170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0"/>
      <c r="X56" s="170"/>
      <c r="Y56" s="170"/>
      <c r="Z56" s="170"/>
    </row>
    <row r="57" ht="12.75" customHeight="1">
      <c r="A57" s="170"/>
      <c r="B57" s="170"/>
      <c r="C57" s="173"/>
      <c r="D57" s="170"/>
      <c r="E57" s="170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0"/>
      <c r="X57" s="170"/>
      <c r="Y57" s="170"/>
      <c r="Z57" s="170"/>
    </row>
    <row r="58" ht="12.75" customHeight="1">
      <c r="A58" s="170"/>
      <c r="B58" s="170"/>
      <c r="C58" s="173"/>
      <c r="D58" s="170"/>
      <c r="E58" s="170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0"/>
      <c r="X58" s="170"/>
      <c r="Y58" s="170"/>
      <c r="Z58" s="170"/>
    </row>
    <row r="59" ht="12.75" customHeight="1">
      <c r="A59" s="170"/>
      <c r="B59" s="170"/>
      <c r="C59" s="173"/>
      <c r="D59" s="170"/>
      <c r="E59" s="170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0"/>
      <c r="X59" s="170"/>
      <c r="Y59" s="170"/>
      <c r="Z59" s="170"/>
    </row>
    <row r="60" ht="12.75" customHeight="1">
      <c r="A60" s="170"/>
      <c r="B60" s="170"/>
      <c r="C60" s="173"/>
      <c r="D60" s="170"/>
      <c r="E60" s="170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0"/>
      <c r="X60" s="170"/>
      <c r="Y60" s="170"/>
      <c r="Z60" s="170"/>
    </row>
    <row r="61" ht="12.75" customHeight="1">
      <c r="A61" s="170"/>
      <c r="B61" s="170"/>
      <c r="C61" s="173"/>
      <c r="D61" s="170"/>
      <c r="E61" s="170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0"/>
      <c r="X61" s="170"/>
      <c r="Y61" s="170"/>
      <c r="Z61" s="170"/>
    </row>
    <row r="62" ht="12.75" customHeight="1">
      <c r="A62" s="170"/>
      <c r="B62" s="170"/>
      <c r="C62" s="173"/>
      <c r="D62" s="170"/>
      <c r="E62" s="170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0"/>
      <c r="X62" s="170"/>
      <c r="Y62" s="170"/>
      <c r="Z62" s="170"/>
    </row>
    <row r="63" ht="12.75" customHeight="1">
      <c r="A63" s="170"/>
      <c r="B63" s="170"/>
      <c r="C63" s="173"/>
      <c r="D63" s="170"/>
      <c r="E63" s="170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0"/>
      <c r="X63" s="170"/>
      <c r="Y63" s="170"/>
      <c r="Z63" s="170"/>
    </row>
    <row r="64" ht="12.75" customHeight="1">
      <c r="A64" s="170"/>
      <c r="B64" s="170"/>
      <c r="C64" s="173"/>
      <c r="D64" s="170"/>
      <c r="E64" s="170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0"/>
      <c r="X64" s="170"/>
      <c r="Y64" s="170"/>
      <c r="Z64" s="170"/>
    </row>
    <row r="65" ht="12.75" customHeight="1">
      <c r="A65" s="170"/>
      <c r="B65" s="170"/>
      <c r="C65" s="173"/>
      <c r="D65" s="170"/>
      <c r="E65" s="170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0"/>
      <c r="X65" s="170"/>
      <c r="Y65" s="170"/>
      <c r="Z65" s="170"/>
    </row>
    <row r="66" ht="12.75" customHeight="1">
      <c r="A66" s="170"/>
      <c r="B66" s="170"/>
      <c r="C66" s="173"/>
      <c r="D66" s="170"/>
      <c r="E66" s="170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0"/>
      <c r="X66" s="170"/>
      <c r="Y66" s="170"/>
      <c r="Z66" s="170"/>
    </row>
    <row r="67" ht="12.75" customHeight="1">
      <c r="A67" s="170"/>
      <c r="B67" s="170"/>
      <c r="C67" s="173"/>
      <c r="D67" s="170"/>
      <c r="E67" s="170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0"/>
      <c r="X67" s="170"/>
      <c r="Y67" s="170"/>
      <c r="Z67" s="170"/>
    </row>
    <row r="68" ht="12.75" customHeight="1">
      <c r="A68" s="170"/>
      <c r="B68" s="170"/>
      <c r="C68" s="173"/>
      <c r="D68" s="170"/>
      <c r="E68" s="170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0"/>
      <c r="X68" s="170"/>
      <c r="Y68" s="170"/>
      <c r="Z68" s="170"/>
    </row>
    <row r="69" ht="12.75" customHeight="1">
      <c r="A69" s="170"/>
      <c r="B69" s="170"/>
      <c r="C69" s="173"/>
      <c r="D69" s="170"/>
      <c r="E69" s="170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0"/>
      <c r="X69" s="170"/>
      <c r="Y69" s="170"/>
      <c r="Z69" s="170"/>
    </row>
    <row r="70" ht="12.75" customHeight="1">
      <c r="A70" s="170"/>
      <c r="B70" s="170"/>
      <c r="C70" s="173"/>
      <c r="D70" s="170"/>
      <c r="E70" s="170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0"/>
      <c r="X70" s="170"/>
      <c r="Y70" s="170"/>
      <c r="Z70" s="170"/>
    </row>
    <row r="71" ht="12.75" customHeight="1">
      <c r="A71" s="170"/>
      <c r="B71" s="170"/>
      <c r="C71" s="173"/>
      <c r="D71" s="170"/>
      <c r="E71" s="170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0"/>
      <c r="X71" s="170"/>
      <c r="Y71" s="170"/>
      <c r="Z71" s="170"/>
    </row>
    <row r="72" ht="12.75" customHeight="1">
      <c r="A72" s="170"/>
      <c r="B72" s="170"/>
      <c r="C72" s="173"/>
      <c r="D72" s="170"/>
      <c r="E72" s="170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0"/>
      <c r="X72" s="170"/>
      <c r="Y72" s="170"/>
      <c r="Z72" s="170"/>
    </row>
    <row r="73" ht="12.75" customHeight="1">
      <c r="A73" s="170"/>
      <c r="B73" s="170"/>
      <c r="C73" s="173"/>
      <c r="D73" s="170"/>
      <c r="E73" s="170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0"/>
      <c r="X73" s="170"/>
      <c r="Y73" s="170"/>
      <c r="Z73" s="170"/>
    </row>
    <row r="74" ht="12.75" customHeight="1">
      <c r="A74" s="170"/>
      <c r="B74" s="170"/>
      <c r="C74" s="173"/>
      <c r="D74" s="170"/>
      <c r="E74" s="170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0"/>
      <c r="X74" s="170"/>
      <c r="Y74" s="170"/>
      <c r="Z74" s="170"/>
    </row>
    <row r="75" ht="12.75" customHeight="1">
      <c r="A75" s="170"/>
      <c r="B75" s="170"/>
      <c r="C75" s="173"/>
      <c r="D75" s="170"/>
      <c r="E75" s="170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0"/>
      <c r="X75" s="170"/>
      <c r="Y75" s="170"/>
      <c r="Z75" s="170"/>
    </row>
    <row r="76" ht="12.75" customHeight="1">
      <c r="A76" s="170"/>
      <c r="B76" s="170"/>
      <c r="C76" s="173"/>
      <c r="D76" s="170"/>
      <c r="E76" s="170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0"/>
      <c r="X76" s="170"/>
      <c r="Y76" s="170"/>
      <c r="Z76" s="170"/>
    </row>
    <row r="77" ht="12.75" customHeight="1">
      <c r="A77" s="170"/>
      <c r="B77" s="170"/>
      <c r="C77" s="173"/>
      <c r="D77" s="170"/>
      <c r="E77" s="170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0"/>
      <c r="X77" s="170"/>
      <c r="Y77" s="170"/>
      <c r="Z77" s="170"/>
    </row>
    <row r="78" ht="12.75" customHeight="1">
      <c r="A78" s="170"/>
      <c r="B78" s="170"/>
      <c r="C78" s="173"/>
      <c r="D78" s="170"/>
      <c r="E78" s="170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0"/>
      <c r="X78" s="170"/>
      <c r="Y78" s="170"/>
      <c r="Z78" s="170"/>
    </row>
    <row r="79" ht="12.75" customHeight="1">
      <c r="A79" s="170"/>
      <c r="B79" s="170"/>
      <c r="C79" s="173"/>
      <c r="D79" s="170"/>
      <c r="E79" s="170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0"/>
      <c r="X79" s="170"/>
      <c r="Y79" s="170"/>
      <c r="Z79" s="170"/>
    </row>
    <row r="80" ht="12.75" customHeight="1">
      <c r="A80" s="170"/>
      <c r="B80" s="170"/>
      <c r="C80" s="173"/>
      <c r="D80" s="170"/>
      <c r="E80" s="170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0"/>
      <c r="X80" s="170"/>
      <c r="Y80" s="170"/>
      <c r="Z80" s="170"/>
    </row>
    <row r="81" ht="12.75" customHeight="1">
      <c r="A81" s="170"/>
      <c r="B81" s="170"/>
      <c r="C81" s="173"/>
      <c r="D81" s="170"/>
      <c r="E81" s="170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0"/>
      <c r="X81" s="170"/>
      <c r="Y81" s="170"/>
      <c r="Z81" s="170"/>
    </row>
    <row r="82" ht="12.75" customHeight="1">
      <c r="A82" s="170"/>
      <c r="B82" s="170"/>
      <c r="C82" s="173"/>
      <c r="D82" s="170"/>
      <c r="E82" s="170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0"/>
      <c r="X82" s="170"/>
      <c r="Y82" s="170"/>
      <c r="Z82" s="170"/>
    </row>
    <row r="83" ht="12.75" customHeight="1">
      <c r="A83" s="170"/>
      <c r="B83" s="170"/>
      <c r="C83" s="173"/>
      <c r="D83" s="170"/>
      <c r="E83" s="170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0"/>
      <c r="X83" s="170"/>
      <c r="Y83" s="170"/>
      <c r="Z83" s="170"/>
    </row>
    <row r="84" ht="12.75" customHeight="1">
      <c r="A84" s="170"/>
      <c r="B84" s="170"/>
      <c r="C84" s="173"/>
      <c r="D84" s="170"/>
      <c r="E84" s="170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0"/>
      <c r="X84" s="170"/>
      <c r="Y84" s="170"/>
      <c r="Z84" s="170"/>
    </row>
    <row r="85" ht="12.75" customHeight="1">
      <c r="A85" s="170"/>
      <c r="B85" s="170"/>
      <c r="C85" s="173"/>
      <c r="D85" s="170"/>
      <c r="E85" s="170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0"/>
      <c r="X85" s="170"/>
      <c r="Y85" s="170"/>
      <c r="Z85" s="170"/>
    </row>
    <row r="86" ht="12.75" customHeight="1">
      <c r="A86" s="170"/>
      <c r="B86" s="170"/>
      <c r="C86" s="173"/>
      <c r="D86" s="170"/>
      <c r="E86" s="170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0"/>
      <c r="X86" s="170"/>
      <c r="Y86" s="170"/>
      <c r="Z86" s="170"/>
    </row>
    <row r="87" ht="12.75" customHeight="1">
      <c r="A87" s="170"/>
      <c r="B87" s="170"/>
      <c r="C87" s="173"/>
      <c r="D87" s="170"/>
      <c r="E87" s="170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0"/>
      <c r="X87" s="170"/>
      <c r="Y87" s="170"/>
      <c r="Z87" s="170"/>
    </row>
    <row r="88" ht="12.75" customHeight="1">
      <c r="A88" s="170"/>
      <c r="B88" s="170"/>
      <c r="C88" s="173"/>
      <c r="D88" s="170"/>
      <c r="E88" s="170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0"/>
      <c r="X88" s="170"/>
      <c r="Y88" s="170"/>
      <c r="Z88" s="170"/>
    </row>
    <row r="89" ht="12.75" customHeight="1">
      <c r="A89" s="170"/>
      <c r="B89" s="170"/>
      <c r="C89" s="173"/>
      <c r="D89" s="170"/>
      <c r="E89" s="170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0"/>
      <c r="X89" s="170"/>
      <c r="Y89" s="170"/>
      <c r="Z89" s="170"/>
    </row>
    <row r="90" ht="12.75" customHeight="1">
      <c r="A90" s="170"/>
      <c r="B90" s="170"/>
      <c r="C90" s="173"/>
      <c r="D90" s="170"/>
      <c r="E90" s="170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0"/>
      <c r="X90" s="170"/>
      <c r="Y90" s="170"/>
      <c r="Z90" s="170"/>
    </row>
    <row r="91" ht="12.75" customHeight="1">
      <c r="A91" s="170"/>
      <c r="B91" s="170"/>
      <c r="C91" s="173"/>
      <c r="D91" s="170"/>
      <c r="E91" s="170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0"/>
      <c r="X91" s="170"/>
      <c r="Y91" s="170"/>
      <c r="Z91" s="170"/>
    </row>
    <row r="92" ht="12.75" customHeight="1">
      <c r="A92" s="170"/>
      <c r="B92" s="170"/>
      <c r="C92" s="173"/>
      <c r="D92" s="170"/>
      <c r="E92" s="170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0"/>
      <c r="X92" s="170"/>
      <c r="Y92" s="170"/>
      <c r="Z92" s="170"/>
    </row>
    <row r="93" ht="12.75" customHeight="1">
      <c r="A93" s="170"/>
      <c r="B93" s="170"/>
      <c r="C93" s="173"/>
      <c r="D93" s="170"/>
      <c r="E93" s="170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0"/>
      <c r="X93" s="170"/>
      <c r="Y93" s="170"/>
      <c r="Z93" s="170"/>
    </row>
    <row r="94" ht="12.75" customHeight="1">
      <c r="A94" s="170"/>
      <c r="B94" s="170"/>
      <c r="C94" s="173"/>
      <c r="D94" s="170"/>
      <c r="E94" s="170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0"/>
      <c r="X94" s="170"/>
      <c r="Y94" s="170"/>
      <c r="Z94" s="170"/>
    </row>
    <row r="95" ht="12.75" customHeight="1">
      <c r="A95" s="170"/>
      <c r="B95" s="170"/>
      <c r="C95" s="173"/>
      <c r="D95" s="170"/>
      <c r="E95" s="170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0"/>
      <c r="X95" s="170"/>
      <c r="Y95" s="170"/>
      <c r="Z95" s="170"/>
    </row>
    <row r="96" ht="12.75" customHeight="1">
      <c r="A96" s="170"/>
      <c r="B96" s="170"/>
      <c r="C96" s="173"/>
      <c r="D96" s="170"/>
      <c r="E96" s="170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0"/>
      <c r="X96" s="170"/>
      <c r="Y96" s="170"/>
      <c r="Z96" s="170"/>
    </row>
    <row r="97" ht="12.75" customHeight="1">
      <c r="A97" s="170"/>
      <c r="B97" s="170"/>
      <c r="C97" s="173"/>
      <c r="D97" s="170"/>
      <c r="E97" s="170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0"/>
      <c r="X97" s="170"/>
      <c r="Y97" s="170"/>
      <c r="Z97" s="170"/>
    </row>
    <row r="98" ht="12.75" customHeight="1">
      <c r="A98" s="170"/>
      <c r="B98" s="170"/>
      <c r="C98" s="173"/>
      <c r="D98" s="170"/>
      <c r="E98" s="170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0"/>
      <c r="X98" s="170"/>
      <c r="Y98" s="170"/>
      <c r="Z98" s="170"/>
    </row>
    <row r="99" ht="12.75" customHeight="1">
      <c r="A99" s="170"/>
      <c r="B99" s="170"/>
      <c r="C99" s="173"/>
      <c r="D99" s="170"/>
      <c r="E99" s="170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0"/>
      <c r="X99" s="170"/>
      <c r="Y99" s="170"/>
      <c r="Z99" s="170"/>
    </row>
    <row r="100" ht="12.75" customHeight="1">
      <c r="A100" s="170"/>
      <c r="B100" s="170"/>
      <c r="C100" s="173"/>
      <c r="D100" s="170"/>
      <c r="E100" s="170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0"/>
      <c r="X100" s="170"/>
      <c r="Y100" s="170"/>
      <c r="Z100" s="170"/>
    </row>
    <row r="101" ht="12.75" customHeight="1">
      <c r="A101" s="170"/>
      <c r="B101" s="170"/>
      <c r="C101" s="173"/>
      <c r="D101" s="170"/>
      <c r="E101" s="170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0"/>
      <c r="X101" s="170"/>
      <c r="Y101" s="170"/>
      <c r="Z101" s="170"/>
    </row>
    <row r="102" ht="12.75" customHeight="1">
      <c r="A102" s="170"/>
      <c r="B102" s="170"/>
      <c r="C102" s="173"/>
      <c r="D102" s="170"/>
      <c r="E102" s="170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0"/>
      <c r="X102" s="170"/>
      <c r="Y102" s="170"/>
      <c r="Z102" s="170"/>
    </row>
    <row r="103" ht="12.75" customHeight="1">
      <c r="A103" s="170"/>
      <c r="B103" s="170"/>
      <c r="C103" s="173"/>
      <c r="D103" s="170"/>
      <c r="E103" s="170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0"/>
      <c r="X103" s="170"/>
      <c r="Y103" s="170"/>
      <c r="Z103" s="170"/>
    </row>
    <row r="104" ht="12.75" customHeight="1">
      <c r="A104" s="170"/>
      <c r="B104" s="170"/>
      <c r="C104" s="173"/>
      <c r="D104" s="170"/>
      <c r="E104" s="170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0"/>
      <c r="X104" s="170"/>
      <c r="Y104" s="170"/>
      <c r="Z104" s="170"/>
    </row>
    <row r="105" ht="12.75" customHeight="1">
      <c r="A105" s="170"/>
      <c r="B105" s="170"/>
      <c r="C105" s="173"/>
      <c r="D105" s="170"/>
      <c r="E105" s="170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0"/>
      <c r="X105" s="170"/>
      <c r="Y105" s="170"/>
      <c r="Z105" s="170"/>
    </row>
    <row r="106" ht="12.75" customHeight="1">
      <c r="A106" s="170"/>
      <c r="B106" s="170"/>
      <c r="C106" s="173"/>
      <c r="D106" s="170"/>
      <c r="E106" s="170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0"/>
      <c r="X106" s="170"/>
      <c r="Y106" s="170"/>
      <c r="Z106" s="170"/>
    </row>
    <row r="107" ht="12.75" customHeight="1">
      <c r="A107" s="170"/>
      <c r="B107" s="170"/>
      <c r="C107" s="173"/>
      <c r="D107" s="170"/>
      <c r="E107" s="170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0"/>
      <c r="X107" s="170"/>
      <c r="Y107" s="170"/>
      <c r="Z107" s="170"/>
    </row>
    <row r="108" ht="12.75" customHeight="1">
      <c r="A108" s="170"/>
      <c r="B108" s="170"/>
      <c r="C108" s="173"/>
      <c r="D108" s="170"/>
      <c r="E108" s="170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0"/>
      <c r="X108" s="170"/>
      <c r="Y108" s="170"/>
      <c r="Z108" s="170"/>
    </row>
    <row r="109" ht="12.75" customHeight="1">
      <c r="A109" s="170"/>
      <c r="B109" s="170"/>
      <c r="C109" s="173"/>
      <c r="D109" s="170"/>
      <c r="E109" s="170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0"/>
      <c r="X109" s="170"/>
      <c r="Y109" s="170"/>
      <c r="Z109" s="170"/>
    </row>
    <row r="110" ht="12.75" customHeight="1">
      <c r="A110" s="170"/>
      <c r="B110" s="170"/>
      <c r="C110" s="173"/>
      <c r="D110" s="170"/>
      <c r="E110" s="170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0"/>
      <c r="X110" s="170"/>
      <c r="Y110" s="170"/>
      <c r="Z110" s="170"/>
    </row>
    <row r="111" ht="12.75" customHeight="1">
      <c r="A111" s="170"/>
      <c r="B111" s="170"/>
      <c r="C111" s="173"/>
      <c r="D111" s="170"/>
      <c r="E111" s="170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0"/>
      <c r="X111" s="170"/>
      <c r="Y111" s="170"/>
      <c r="Z111" s="170"/>
    </row>
    <row r="112" ht="12.75" customHeight="1">
      <c r="A112" s="170"/>
      <c r="B112" s="170"/>
      <c r="C112" s="173"/>
      <c r="D112" s="170"/>
      <c r="E112" s="170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0"/>
      <c r="X112" s="170"/>
      <c r="Y112" s="170"/>
      <c r="Z112" s="170"/>
    </row>
    <row r="113" ht="12.75" customHeight="1">
      <c r="A113" s="170"/>
      <c r="B113" s="170"/>
      <c r="C113" s="173"/>
      <c r="D113" s="170"/>
      <c r="E113" s="170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0"/>
      <c r="X113" s="170"/>
      <c r="Y113" s="170"/>
      <c r="Z113" s="170"/>
    </row>
    <row r="114" ht="12.75" customHeight="1">
      <c r="A114" s="170"/>
      <c r="B114" s="170"/>
      <c r="C114" s="173"/>
      <c r="D114" s="170"/>
      <c r="E114" s="170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0"/>
      <c r="X114" s="170"/>
      <c r="Y114" s="170"/>
      <c r="Z114" s="170"/>
    </row>
    <row r="115" ht="12.75" customHeight="1">
      <c r="A115" s="170"/>
      <c r="B115" s="170"/>
      <c r="C115" s="173"/>
      <c r="D115" s="170"/>
      <c r="E115" s="170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0"/>
      <c r="X115" s="170"/>
      <c r="Y115" s="170"/>
      <c r="Z115" s="170"/>
    </row>
    <row r="116" ht="12.75" customHeight="1">
      <c r="A116" s="170"/>
      <c r="B116" s="170"/>
      <c r="C116" s="173"/>
      <c r="D116" s="170"/>
      <c r="E116" s="170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0"/>
      <c r="X116" s="170"/>
      <c r="Y116" s="170"/>
      <c r="Z116" s="170"/>
    </row>
    <row r="117" ht="12.75" customHeight="1">
      <c r="A117" s="170"/>
      <c r="B117" s="170"/>
      <c r="C117" s="173"/>
      <c r="D117" s="170"/>
      <c r="E117" s="170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0"/>
      <c r="X117" s="170"/>
      <c r="Y117" s="170"/>
      <c r="Z117" s="170"/>
    </row>
    <row r="118" ht="12.75" customHeight="1">
      <c r="A118" s="170"/>
      <c r="B118" s="170"/>
      <c r="C118" s="173"/>
      <c r="D118" s="170"/>
      <c r="E118" s="170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0"/>
      <c r="X118" s="170"/>
      <c r="Y118" s="170"/>
      <c r="Z118" s="170"/>
    </row>
    <row r="119" ht="12.75" customHeight="1">
      <c r="A119" s="170"/>
      <c r="B119" s="170"/>
      <c r="C119" s="173"/>
      <c r="D119" s="170"/>
      <c r="E119" s="170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0"/>
      <c r="X119" s="170"/>
      <c r="Y119" s="170"/>
      <c r="Z119" s="170"/>
    </row>
    <row r="120" ht="12.75" customHeight="1">
      <c r="A120" s="170"/>
      <c r="B120" s="170"/>
      <c r="C120" s="173"/>
      <c r="D120" s="170"/>
      <c r="E120" s="170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0"/>
      <c r="X120" s="170"/>
      <c r="Y120" s="170"/>
      <c r="Z120" s="170"/>
    </row>
    <row r="121" ht="12.75" customHeight="1">
      <c r="A121" s="170"/>
      <c r="B121" s="170"/>
      <c r="C121" s="173"/>
      <c r="D121" s="170"/>
      <c r="E121" s="170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0"/>
      <c r="X121" s="170"/>
      <c r="Y121" s="170"/>
      <c r="Z121" s="170"/>
    </row>
    <row r="122" ht="12.75" customHeight="1">
      <c r="A122" s="170"/>
      <c r="B122" s="170"/>
      <c r="C122" s="173"/>
      <c r="D122" s="170"/>
      <c r="E122" s="170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0"/>
      <c r="X122" s="170"/>
      <c r="Y122" s="170"/>
      <c r="Z122" s="170"/>
    </row>
    <row r="123" ht="12.75" customHeight="1">
      <c r="A123" s="170"/>
      <c r="B123" s="170"/>
      <c r="C123" s="173"/>
      <c r="D123" s="170"/>
      <c r="E123" s="170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0"/>
      <c r="X123" s="170"/>
      <c r="Y123" s="170"/>
      <c r="Z123" s="170"/>
    </row>
    <row r="124" ht="12.75" customHeight="1">
      <c r="A124" s="170"/>
      <c r="B124" s="170"/>
      <c r="C124" s="173"/>
      <c r="D124" s="170"/>
      <c r="E124" s="170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0"/>
      <c r="X124" s="170"/>
      <c r="Y124" s="170"/>
      <c r="Z124" s="170"/>
    </row>
    <row r="125" ht="12.75" customHeight="1">
      <c r="A125" s="170"/>
      <c r="B125" s="170"/>
      <c r="C125" s="173"/>
      <c r="D125" s="170"/>
      <c r="E125" s="170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0"/>
      <c r="X125" s="170"/>
      <c r="Y125" s="170"/>
      <c r="Z125" s="170"/>
    </row>
    <row r="126" ht="12.75" customHeight="1">
      <c r="A126" s="170"/>
      <c r="B126" s="170"/>
      <c r="C126" s="173"/>
      <c r="D126" s="170"/>
      <c r="E126" s="170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0"/>
      <c r="X126" s="170"/>
      <c r="Y126" s="170"/>
      <c r="Z126" s="170"/>
    </row>
    <row r="127" ht="12.75" customHeight="1">
      <c r="A127" s="170"/>
      <c r="B127" s="170"/>
      <c r="C127" s="173"/>
      <c r="D127" s="170"/>
      <c r="E127" s="170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0"/>
      <c r="X127" s="170"/>
      <c r="Y127" s="170"/>
      <c r="Z127" s="170"/>
    </row>
    <row r="128" ht="12.75" customHeight="1">
      <c r="A128" s="170"/>
      <c r="B128" s="170"/>
      <c r="C128" s="173"/>
      <c r="D128" s="170"/>
      <c r="E128" s="170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0"/>
      <c r="X128" s="170"/>
      <c r="Y128" s="170"/>
      <c r="Z128" s="170"/>
    </row>
    <row r="129" ht="12.75" customHeight="1">
      <c r="A129" s="170"/>
      <c r="B129" s="170"/>
      <c r="C129" s="173"/>
      <c r="D129" s="170"/>
      <c r="E129" s="170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0"/>
      <c r="X129" s="170"/>
      <c r="Y129" s="170"/>
      <c r="Z129" s="170"/>
    </row>
    <row r="130" ht="12.75" customHeight="1">
      <c r="A130" s="170"/>
      <c r="B130" s="170"/>
      <c r="C130" s="173"/>
      <c r="D130" s="170"/>
      <c r="E130" s="170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0"/>
      <c r="X130" s="170"/>
      <c r="Y130" s="170"/>
      <c r="Z130" s="170"/>
    </row>
    <row r="131" ht="12.75" customHeight="1">
      <c r="A131" s="170"/>
      <c r="B131" s="170"/>
      <c r="C131" s="173"/>
      <c r="D131" s="170"/>
      <c r="E131" s="170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0"/>
      <c r="X131" s="170"/>
      <c r="Y131" s="170"/>
      <c r="Z131" s="170"/>
    </row>
    <row r="132" ht="12.75" customHeight="1">
      <c r="A132" s="170"/>
      <c r="B132" s="170"/>
      <c r="C132" s="173"/>
      <c r="D132" s="170"/>
      <c r="E132" s="170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0"/>
      <c r="X132" s="170"/>
      <c r="Y132" s="170"/>
      <c r="Z132" s="170"/>
    </row>
    <row r="133" ht="12.75" customHeight="1">
      <c r="A133" s="170"/>
      <c r="B133" s="170"/>
      <c r="C133" s="173"/>
      <c r="D133" s="170"/>
      <c r="E133" s="170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0"/>
      <c r="X133" s="170"/>
      <c r="Y133" s="170"/>
      <c r="Z133" s="170"/>
    </row>
    <row r="134" ht="12.75" customHeight="1">
      <c r="A134" s="170"/>
      <c r="B134" s="170"/>
      <c r="C134" s="173"/>
      <c r="D134" s="170"/>
      <c r="E134" s="170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0"/>
      <c r="X134" s="170"/>
      <c r="Y134" s="170"/>
      <c r="Z134" s="170"/>
    </row>
    <row r="135" ht="12.75" customHeight="1">
      <c r="A135" s="170"/>
      <c r="B135" s="170"/>
      <c r="C135" s="173"/>
      <c r="D135" s="170"/>
      <c r="E135" s="170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0"/>
      <c r="X135" s="170"/>
      <c r="Y135" s="170"/>
      <c r="Z135" s="170"/>
    </row>
    <row r="136" ht="12.75" customHeight="1">
      <c r="A136" s="170"/>
      <c r="B136" s="170"/>
      <c r="C136" s="173"/>
      <c r="D136" s="170"/>
      <c r="E136" s="170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0"/>
      <c r="X136" s="170"/>
      <c r="Y136" s="170"/>
      <c r="Z136" s="170"/>
    </row>
    <row r="137" ht="12.75" customHeight="1">
      <c r="A137" s="170"/>
      <c r="B137" s="170"/>
      <c r="C137" s="173"/>
      <c r="D137" s="170"/>
      <c r="E137" s="170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0"/>
      <c r="X137" s="170"/>
      <c r="Y137" s="170"/>
      <c r="Z137" s="170"/>
    </row>
    <row r="138" ht="12.75" customHeight="1">
      <c r="A138" s="170"/>
      <c r="B138" s="170"/>
      <c r="C138" s="173"/>
      <c r="D138" s="170"/>
      <c r="E138" s="170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0"/>
      <c r="X138" s="170"/>
      <c r="Y138" s="170"/>
      <c r="Z138" s="170"/>
    </row>
    <row r="139" ht="12.75" customHeight="1">
      <c r="A139" s="170"/>
      <c r="B139" s="170"/>
      <c r="C139" s="173"/>
      <c r="D139" s="170"/>
      <c r="E139" s="170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0"/>
      <c r="X139" s="170"/>
      <c r="Y139" s="170"/>
      <c r="Z139" s="170"/>
    </row>
    <row r="140" ht="12.75" customHeight="1">
      <c r="A140" s="170"/>
      <c r="B140" s="170"/>
      <c r="C140" s="173"/>
      <c r="D140" s="170"/>
      <c r="E140" s="170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0"/>
      <c r="X140" s="170"/>
      <c r="Y140" s="170"/>
      <c r="Z140" s="170"/>
    </row>
    <row r="141" ht="12.75" customHeight="1">
      <c r="A141" s="170"/>
      <c r="B141" s="170"/>
      <c r="C141" s="173"/>
      <c r="D141" s="170"/>
      <c r="E141" s="170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0"/>
      <c r="X141" s="170"/>
      <c r="Y141" s="170"/>
      <c r="Z141" s="170"/>
    </row>
    <row r="142" ht="12.75" customHeight="1">
      <c r="A142" s="170"/>
      <c r="B142" s="170"/>
      <c r="C142" s="173"/>
      <c r="D142" s="170"/>
      <c r="E142" s="170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0"/>
      <c r="X142" s="170"/>
      <c r="Y142" s="170"/>
      <c r="Z142" s="170"/>
    </row>
    <row r="143" ht="12.75" customHeight="1">
      <c r="A143" s="170"/>
      <c r="B143" s="170"/>
      <c r="C143" s="173"/>
      <c r="D143" s="170"/>
      <c r="E143" s="170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0"/>
      <c r="X143" s="170"/>
      <c r="Y143" s="170"/>
      <c r="Z143" s="170"/>
    </row>
    <row r="144" ht="12.75" customHeight="1">
      <c r="A144" s="170"/>
      <c r="B144" s="170"/>
      <c r="C144" s="173"/>
      <c r="D144" s="170"/>
      <c r="E144" s="170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0"/>
      <c r="X144" s="170"/>
      <c r="Y144" s="170"/>
      <c r="Z144" s="170"/>
    </row>
    <row r="145" ht="12.75" customHeight="1">
      <c r="A145" s="170"/>
      <c r="B145" s="170"/>
      <c r="C145" s="173"/>
      <c r="D145" s="170"/>
      <c r="E145" s="170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0"/>
      <c r="X145" s="170"/>
      <c r="Y145" s="170"/>
      <c r="Z145" s="170"/>
    </row>
    <row r="146" ht="12.75" customHeight="1">
      <c r="A146" s="170"/>
      <c r="B146" s="170"/>
      <c r="C146" s="173"/>
      <c r="D146" s="170"/>
      <c r="E146" s="170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0"/>
      <c r="X146" s="170"/>
      <c r="Y146" s="170"/>
      <c r="Z146" s="170"/>
    </row>
    <row r="147" ht="12.75" customHeight="1">
      <c r="A147" s="170"/>
      <c r="B147" s="170"/>
      <c r="C147" s="173"/>
      <c r="D147" s="170"/>
      <c r="E147" s="170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0"/>
      <c r="X147" s="170"/>
      <c r="Y147" s="170"/>
      <c r="Z147" s="170"/>
    </row>
    <row r="148" ht="12.75" customHeight="1">
      <c r="A148" s="170"/>
      <c r="B148" s="170"/>
      <c r="C148" s="173"/>
      <c r="D148" s="170"/>
      <c r="E148" s="170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0"/>
      <c r="X148" s="170"/>
      <c r="Y148" s="170"/>
      <c r="Z148" s="170"/>
    </row>
    <row r="149" ht="12.75" customHeight="1">
      <c r="A149" s="170"/>
      <c r="B149" s="170"/>
      <c r="C149" s="173"/>
      <c r="D149" s="170"/>
      <c r="E149" s="170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0"/>
      <c r="X149" s="170"/>
      <c r="Y149" s="170"/>
      <c r="Z149" s="170"/>
    </row>
    <row r="150" ht="12.75" customHeight="1">
      <c r="A150" s="170"/>
      <c r="B150" s="170"/>
      <c r="C150" s="173"/>
      <c r="D150" s="170"/>
      <c r="E150" s="170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0"/>
      <c r="X150" s="170"/>
      <c r="Y150" s="170"/>
      <c r="Z150" s="170"/>
    </row>
    <row r="151" ht="12.75" customHeight="1">
      <c r="A151" s="170"/>
      <c r="B151" s="170"/>
      <c r="C151" s="173"/>
      <c r="D151" s="170"/>
      <c r="E151" s="170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0"/>
      <c r="X151" s="170"/>
      <c r="Y151" s="170"/>
      <c r="Z151" s="170"/>
    </row>
    <row r="152" ht="12.75" customHeight="1">
      <c r="A152" s="170"/>
      <c r="B152" s="170"/>
      <c r="C152" s="173"/>
      <c r="D152" s="170"/>
      <c r="E152" s="170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0"/>
      <c r="X152" s="170"/>
      <c r="Y152" s="170"/>
      <c r="Z152" s="170"/>
    </row>
    <row r="153" ht="12.75" customHeight="1">
      <c r="A153" s="170"/>
      <c r="B153" s="170"/>
      <c r="C153" s="173"/>
      <c r="D153" s="170"/>
      <c r="E153" s="170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0"/>
      <c r="X153" s="170"/>
      <c r="Y153" s="170"/>
      <c r="Z153" s="170"/>
    </row>
    <row r="154" ht="12.75" customHeight="1">
      <c r="A154" s="170"/>
      <c r="B154" s="170"/>
      <c r="C154" s="173"/>
      <c r="D154" s="170"/>
      <c r="E154" s="170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0"/>
      <c r="X154" s="170"/>
      <c r="Y154" s="170"/>
      <c r="Z154" s="170"/>
    </row>
    <row r="155" ht="12.75" customHeight="1">
      <c r="A155" s="170"/>
      <c r="B155" s="170"/>
      <c r="C155" s="173"/>
      <c r="D155" s="170"/>
      <c r="E155" s="170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0"/>
      <c r="X155" s="170"/>
      <c r="Y155" s="170"/>
      <c r="Z155" s="170"/>
    </row>
    <row r="156" ht="12.75" customHeight="1">
      <c r="A156" s="170"/>
      <c r="B156" s="170"/>
      <c r="C156" s="173"/>
      <c r="D156" s="170"/>
      <c r="E156" s="170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0"/>
      <c r="X156" s="170"/>
      <c r="Y156" s="170"/>
      <c r="Z156" s="170"/>
    </row>
    <row r="157" ht="12.75" customHeight="1">
      <c r="A157" s="170"/>
      <c r="B157" s="170"/>
      <c r="C157" s="173"/>
      <c r="D157" s="170"/>
      <c r="E157" s="170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0"/>
      <c r="X157" s="170"/>
      <c r="Y157" s="170"/>
      <c r="Z157" s="170"/>
    </row>
    <row r="158" ht="12.75" customHeight="1">
      <c r="A158" s="170"/>
      <c r="B158" s="170"/>
      <c r="C158" s="173"/>
      <c r="D158" s="170"/>
      <c r="E158" s="170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0"/>
      <c r="X158" s="170"/>
      <c r="Y158" s="170"/>
      <c r="Z158" s="170"/>
    </row>
    <row r="159" ht="12.75" customHeight="1">
      <c r="A159" s="170"/>
      <c r="B159" s="170"/>
      <c r="C159" s="173"/>
      <c r="D159" s="170"/>
      <c r="E159" s="170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0"/>
      <c r="X159" s="170"/>
      <c r="Y159" s="170"/>
      <c r="Z159" s="170"/>
    </row>
    <row r="160" ht="12.75" customHeight="1">
      <c r="A160" s="170"/>
      <c r="B160" s="170"/>
      <c r="C160" s="173"/>
      <c r="D160" s="170"/>
      <c r="E160" s="170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0"/>
      <c r="X160" s="170"/>
      <c r="Y160" s="170"/>
      <c r="Z160" s="170"/>
    </row>
    <row r="161" ht="12.75" customHeight="1">
      <c r="A161" s="170"/>
      <c r="B161" s="170"/>
      <c r="C161" s="173"/>
      <c r="D161" s="170"/>
      <c r="E161" s="170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0"/>
      <c r="X161" s="170"/>
      <c r="Y161" s="170"/>
      <c r="Z161" s="170"/>
    </row>
    <row r="162" ht="12.75" customHeight="1">
      <c r="A162" s="170"/>
      <c r="B162" s="170"/>
      <c r="C162" s="173"/>
      <c r="D162" s="170"/>
      <c r="E162" s="170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0"/>
      <c r="X162" s="170"/>
      <c r="Y162" s="170"/>
      <c r="Z162" s="170"/>
    </row>
    <row r="163" ht="12.75" customHeight="1">
      <c r="A163" s="170"/>
      <c r="B163" s="170"/>
      <c r="C163" s="173"/>
      <c r="D163" s="170"/>
      <c r="E163" s="170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0"/>
      <c r="X163" s="170"/>
      <c r="Y163" s="170"/>
      <c r="Z163" s="170"/>
    </row>
    <row r="164" ht="12.75" customHeight="1">
      <c r="A164" s="170"/>
      <c r="B164" s="170"/>
      <c r="C164" s="173"/>
      <c r="D164" s="170"/>
      <c r="E164" s="170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0"/>
      <c r="X164" s="170"/>
      <c r="Y164" s="170"/>
      <c r="Z164" s="170"/>
    </row>
    <row r="165" ht="12.75" customHeight="1">
      <c r="A165" s="170"/>
      <c r="B165" s="170"/>
      <c r="C165" s="173"/>
      <c r="D165" s="170"/>
      <c r="E165" s="170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0"/>
      <c r="X165" s="170"/>
      <c r="Y165" s="170"/>
      <c r="Z165" s="170"/>
    </row>
    <row r="166" ht="12.75" customHeight="1">
      <c r="A166" s="170"/>
      <c r="B166" s="170"/>
      <c r="C166" s="173"/>
      <c r="D166" s="170"/>
      <c r="E166" s="170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0"/>
      <c r="X166" s="170"/>
      <c r="Y166" s="170"/>
      <c r="Z166" s="170"/>
    </row>
    <row r="167" ht="12.75" customHeight="1">
      <c r="A167" s="170"/>
      <c r="B167" s="170"/>
      <c r="C167" s="173"/>
      <c r="D167" s="170"/>
      <c r="E167" s="170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0"/>
      <c r="X167" s="170"/>
      <c r="Y167" s="170"/>
      <c r="Z167" s="170"/>
    </row>
    <row r="168" ht="12.75" customHeight="1">
      <c r="A168" s="170"/>
      <c r="B168" s="170"/>
      <c r="C168" s="173"/>
      <c r="D168" s="170"/>
      <c r="E168" s="170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0"/>
      <c r="X168" s="170"/>
      <c r="Y168" s="170"/>
      <c r="Z168" s="170"/>
    </row>
    <row r="169" ht="12.75" customHeight="1">
      <c r="A169" s="170"/>
      <c r="B169" s="170"/>
      <c r="C169" s="173"/>
      <c r="D169" s="170"/>
      <c r="E169" s="170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0"/>
      <c r="X169" s="170"/>
      <c r="Y169" s="170"/>
      <c r="Z169" s="170"/>
    </row>
    <row r="170" ht="12.75" customHeight="1">
      <c r="A170" s="170"/>
      <c r="B170" s="170"/>
      <c r="C170" s="173"/>
      <c r="D170" s="170"/>
      <c r="E170" s="170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0"/>
      <c r="X170" s="170"/>
      <c r="Y170" s="170"/>
      <c r="Z170" s="170"/>
    </row>
    <row r="171" ht="12.75" customHeight="1">
      <c r="A171" s="170"/>
      <c r="B171" s="170"/>
      <c r="C171" s="173"/>
      <c r="D171" s="170"/>
      <c r="E171" s="170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0"/>
      <c r="X171" s="170"/>
      <c r="Y171" s="170"/>
      <c r="Z171" s="170"/>
    </row>
    <row r="172" ht="12.75" customHeight="1">
      <c r="A172" s="170"/>
      <c r="B172" s="170"/>
      <c r="C172" s="173"/>
      <c r="D172" s="170"/>
      <c r="E172" s="170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0"/>
      <c r="X172" s="170"/>
      <c r="Y172" s="170"/>
      <c r="Z172" s="170"/>
    </row>
    <row r="173" ht="12.75" customHeight="1">
      <c r="A173" s="170"/>
      <c r="B173" s="170"/>
      <c r="C173" s="173"/>
      <c r="D173" s="170"/>
      <c r="E173" s="170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0"/>
      <c r="X173" s="170"/>
      <c r="Y173" s="170"/>
      <c r="Z173" s="170"/>
    </row>
    <row r="174" ht="12.75" customHeight="1">
      <c r="A174" s="170"/>
      <c r="B174" s="170"/>
      <c r="C174" s="173"/>
      <c r="D174" s="170"/>
      <c r="E174" s="170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0"/>
      <c r="X174" s="170"/>
      <c r="Y174" s="170"/>
      <c r="Z174" s="170"/>
    </row>
    <row r="175" ht="12.75" customHeight="1">
      <c r="A175" s="170"/>
      <c r="B175" s="170"/>
      <c r="C175" s="173"/>
      <c r="D175" s="170"/>
      <c r="E175" s="170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0"/>
      <c r="X175" s="170"/>
      <c r="Y175" s="170"/>
      <c r="Z175" s="170"/>
    </row>
    <row r="176" ht="12.75" customHeight="1">
      <c r="A176" s="170"/>
      <c r="B176" s="170"/>
      <c r="C176" s="173"/>
      <c r="D176" s="170"/>
      <c r="E176" s="170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0"/>
      <c r="X176" s="170"/>
      <c r="Y176" s="170"/>
      <c r="Z176" s="170"/>
    </row>
    <row r="177" ht="12.75" customHeight="1">
      <c r="A177" s="170"/>
      <c r="B177" s="170"/>
      <c r="C177" s="173"/>
      <c r="D177" s="170"/>
      <c r="E177" s="170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0"/>
      <c r="X177" s="170"/>
      <c r="Y177" s="170"/>
      <c r="Z177" s="170"/>
    </row>
    <row r="178" ht="12.75" customHeight="1">
      <c r="A178" s="170"/>
      <c r="B178" s="170"/>
      <c r="C178" s="173"/>
      <c r="D178" s="170"/>
      <c r="E178" s="170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0"/>
      <c r="X178" s="170"/>
      <c r="Y178" s="170"/>
      <c r="Z178" s="170"/>
    </row>
    <row r="179" ht="12.75" customHeight="1">
      <c r="A179" s="170"/>
      <c r="B179" s="170"/>
      <c r="C179" s="173"/>
      <c r="D179" s="170"/>
      <c r="E179" s="170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0"/>
      <c r="X179" s="170"/>
      <c r="Y179" s="170"/>
      <c r="Z179" s="170"/>
    </row>
    <row r="180" ht="12.75" customHeight="1">
      <c r="A180" s="170"/>
      <c r="B180" s="170"/>
      <c r="C180" s="173"/>
      <c r="D180" s="170"/>
      <c r="E180" s="170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0"/>
      <c r="X180" s="170"/>
      <c r="Y180" s="170"/>
      <c r="Z180" s="170"/>
    </row>
    <row r="181" ht="12.75" customHeight="1">
      <c r="A181" s="170"/>
      <c r="B181" s="170"/>
      <c r="C181" s="173"/>
      <c r="D181" s="170"/>
      <c r="E181" s="170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0"/>
      <c r="X181" s="170"/>
      <c r="Y181" s="170"/>
      <c r="Z181" s="170"/>
    </row>
    <row r="182" ht="12.75" customHeight="1">
      <c r="A182" s="170"/>
      <c r="B182" s="170"/>
      <c r="C182" s="173"/>
      <c r="D182" s="170"/>
      <c r="E182" s="170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0"/>
      <c r="X182" s="170"/>
      <c r="Y182" s="170"/>
      <c r="Z182" s="170"/>
    </row>
    <row r="183" ht="12.75" customHeight="1">
      <c r="A183" s="170"/>
      <c r="B183" s="170"/>
      <c r="C183" s="173"/>
      <c r="D183" s="170"/>
      <c r="E183" s="170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0"/>
      <c r="X183" s="170"/>
      <c r="Y183" s="170"/>
      <c r="Z183" s="170"/>
    </row>
    <row r="184" ht="12.75" customHeight="1">
      <c r="A184" s="170"/>
      <c r="B184" s="170"/>
      <c r="C184" s="173"/>
      <c r="D184" s="170"/>
      <c r="E184" s="170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0"/>
      <c r="X184" s="170"/>
      <c r="Y184" s="170"/>
      <c r="Z184" s="170"/>
    </row>
    <row r="185" ht="12.75" customHeight="1">
      <c r="A185" s="170"/>
      <c r="B185" s="170"/>
      <c r="C185" s="173"/>
      <c r="D185" s="170"/>
      <c r="E185" s="170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0"/>
      <c r="X185" s="170"/>
      <c r="Y185" s="170"/>
      <c r="Z185" s="170"/>
    </row>
    <row r="186" ht="12.75" customHeight="1">
      <c r="A186" s="170"/>
      <c r="B186" s="170"/>
      <c r="C186" s="173"/>
      <c r="D186" s="170"/>
      <c r="E186" s="170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0"/>
      <c r="X186" s="170"/>
      <c r="Y186" s="170"/>
      <c r="Z186" s="170"/>
    </row>
    <row r="187" ht="12.75" customHeight="1">
      <c r="A187" s="170"/>
      <c r="B187" s="170"/>
      <c r="C187" s="173"/>
      <c r="D187" s="170"/>
      <c r="E187" s="170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0"/>
      <c r="X187" s="170"/>
      <c r="Y187" s="170"/>
      <c r="Z187" s="170"/>
    </row>
    <row r="188" ht="12.75" customHeight="1">
      <c r="A188" s="170"/>
      <c r="B188" s="170"/>
      <c r="C188" s="173"/>
      <c r="D188" s="170"/>
      <c r="E188" s="170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0"/>
      <c r="X188" s="170"/>
      <c r="Y188" s="170"/>
      <c r="Z188" s="170"/>
    </row>
    <row r="189" ht="12.75" customHeight="1">
      <c r="A189" s="170"/>
      <c r="B189" s="170"/>
      <c r="C189" s="173"/>
      <c r="D189" s="170"/>
      <c r="E189" s="170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0"/>
      <c r="X189" s="170"/>
      <c r="Y189" s="170"/>
      <c r="Z189" s="170"/>
    </row>
    <row r="190" ht="12.75" customHeight="1">
      <c r="A190" s="170"/>
      <c r="B190" s="170"/>
      <c r="C190" s="173"/>
      <c r="D190" s="170"/>
      <c r="E190" s="170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0"/>
      <c r="X190" s="170"/>
      <c r="Y190" s="170"/>
      <c r="Z190" s="170"/>
    </row>
    <row r="191" ht="12.75" customHeight="1">
      <c r="A191" s="170"/>
      <c r="B191" s="170"/>
      <c r="C191" s="173"/>
      <c r="D191" s="170"/>
      <c r="E191" s="170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0"/>
      <c r="X191" s="170"/>
      <c r="Y191" s="170"/>
      <c r="Z191" s="170"/>
    </row>
    <row r="192" ht="12.75" customHeight="1">
      <c r="A192" s="170"/>
      <c r="B192" s="170"/>
      <c r="C192" s="173"/>
      <c r="D192" s="170"/>
      <c r="E192" s="170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0"/>
      <c r="X192" s="170"/>
      <c r="Y192" s="170"/>
      <c r="Z192" s="170"/>
    </row>
    <row r="193" ht="12.75" customHeight="1">
      <c r="A193" s="170"/>
      <c r="B193" s="170"/>
      <c r="C193" s="173"/>
      <c r="D193" s="170"/>
      <c r="E193" s="170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0"/>
      <c r="X193" s="170"/>
      <c r="Y193" s="170"/>
      <c r="Z193" s="170"/>
    </row>
    <row r="194" ht="12.75" customHeight="1">
      <c r="A194" s="170"/>
      <c r="B194" s="170"/>
      <c r="C194" s="173"/>
      <c r="D194" s="170"/>
      <c r="E194" s="170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0"/>
      <c r="X194" s="170"/>
      <c r="Y194" s="170"/>
      <c r="Z194" s="170"/>
    </row>
    <row r="195" ht="12.75" customHeight="1">
      <c r="A195" s="170"/>
      <c r="B195" s="170"/>
      <c r="C195" s="173"/>
      <c r="D195" s="170"/>
      <c r="E195" s="170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0"/>
      <c r="X195" s="170"/>
      <c r="Y195" s="170"/>
      <c r="Z195" s="170"/>
    </row>
    <row r="196" ht="12.75" customHeight="1">
      <c r="A196" s="170"/>
      <c r="B196" s="170"/>
      <c r="C196" s="173"/>
      <c r="D196" s="170"/>
      <c r="E196" s="170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0"/>
      <c r="X196" s="170"/>
      <c r="Y196" s="170"/>
      <c r="Z196" s="170"/>
    </row>
    <row r="197" ht="12.75" customHeight="1">
      <c r="A197" s="170"/>
      <c r="B197" s="170"/>
      <c r="C197" s="173"/>
      <c r="D197" s="170"/>
      <c r="E197" s="170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0"/>
      <c r="X197" s="170"/>
      <c r="Y197" s="170"/>
      <c r="Z197" s="170"/>
    </row>
    <row r="198" ht="12.75" customHeight="1">
      <c r="A198" s="170"/>
      <c r="B198" s="170"/>
      <c r="C198" s="173"/>
      <c r="D198" s="170"/>
      <c r="E198" s="170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0"/>
      <c r="X198" s="170"/>
      <c r="Y198" s="170"/>
      <c r="Z198" s="170"/>
    </row>
    <row r="199" ht="12.75" customHeight="1">
      <c r="A199" s="170"/>
      <c r="B199" s="170"/>
      <c r="C199" s="173"/>
      <c r="D199" s="170"/>
      <c r="E199" s="170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0"/>
      <c r="X199" s="170"/>
      <c r="Y199" s="170"/>
      <c r="Z199" s="170"/>
    </row>
    <row r="200" ht="12.75" customHeight="1">
      <c r="A200" s="170"/>
      <c r="B200" s="170"/>
      <c r="C200" s="173"/>
      <c r="D200" s="170"/>
      <c r="E200" s="170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0"/>
      <c r="X200" s="170"/>
      <c r="Y200" s="170"/>
      <c r="Z200" s="170"/>
    </row>
    <row r="201" ht="12.75" customHeight="1">
      <c r="A201" s="170"/>
      <c r="B201" s="170"/>
      <c r="C201" s="173"/>
      <c r="D201" s="170"/>
      <c r="E201" s="170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0"/>
      <c r="X201" s="170"/>
      <c r="Y201" s="170"/>
      <c r="Z201" s="170"/>
    </row>
    <row r="202" ht="12.75" customHeight="1">
      <c r="A202" s="170"/>
      <c r="B202" s="170"/>
      <c r="C202" s="173"/>
      <c r="D202" s="170"/>
      <c r="E202" s="170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0"/>
      <c r="X202" s="170"/>
      <c r="Y202" s="170"/>
      <c r="Z202" s="170"/>
    </row>
    <row r="203" ht="12.75" customHeight="1">
      <c r="A203" s="170"/>
      <c r="B203" s="170"/>
      <c r="C203" s="173"/>
      <c r="D203" s="170"/>
      <c r="E203" s="170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0"/>
      <c r="X203" s="170"/>
      <c r="Y203" s="170"/>
      <c r="Z203" s="170"/>
    </row>
    <row r="204" ht="12.75" customHeight="1">
      <c r="A204" s="170"/>
      <c r="B204" s="170"/>
      <c r="C204" s="173"/>
      <c r="D204" s="170"/>
      <c r="E204" s="170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0"/>
      <c r="X204" s="170"/>
      <c r="Y204" s="170"/>
      <c r="Z204" s="170"/>
    </row>
    <row r="205" ht="12.75" customHeight="1">
      <c r="A205" s="170"/>
      <c r="B205" s="170"/>
      <c r="C205" s="173"/>
      <c r="D205" s="170"/>
      <c r="E205" s="170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0"/>
      <c r="X205" s="170"/>
      <c r="Y205" s="170"/>
      <c r="Z205" s="170"/>
    </row>
    <row r="206" ht="12.75" customHeight="1">
      <c r="A206" s="170"/>
      <c r="B206" s="170"/>
      <c r="C206" s="173"/>
      <c r="D206" s="170"/>
      <c r="E206" s="170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0"/>
      <c r="X206" s="170"/>
      <c r="Y206" s="170"/>
      <c r="Z206" s="170"/>
    </row>
    <row r="207" ht="12.75" customHeight="1">
      <c r="A207" s="170"/>
      <c r="B207" s="170"/>
      <c r="C207" s="173"/>
      <c r="D207" s="170"/>
      <c r="E207" s="170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0"/>
      <c r="X207" s="170"/>
      <c r="Y207" s="170"/>
      <c r="Z207" s="170"/>
    </row>
    <row r="208" ht="12.75" customHeight="1">
      <c r="A208" s="170"/>
      <c r="B208" s="170"/>
      <c r="C208" s="173"/>
      <c r="D208" s="170"/>
      <c r="E208" s="170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0"/>
      <c r="X208" s="170"/>
      <c r="Y208" s="170"/>
      <c r="Z208" s="170"/>
    </row>
    <row r="209" ht="12.75" customHeight="1">
      <c r="A209" s="170"/>
      <c r="B209" s="170"/>
      <c r="C209" s="173"/>
      <c r="D209" s="170"/>
      <c r="E209" s="170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0"/>
      <c r="X209" s="170"/>
      <c r="Y209" s="170"/>
      <c r="Z209" s="170"/>
    </row>
    <row r="210" ht="12.75" customHeight="1">
      <c r="A210" s="170"/>
      <c r="B210" s="170"/>
      <c r="C210" s="173"/>
      <c r="D210" s="170"/>
      <c r="E210" s="170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0"/>
      <c r="X210" s="170"/>
      <c r="Y210" s="170"/>
      <c r="Z210" s="170"/>
    </row>
    <row r="211" ht="12.75" customHeight="1">
      <c r="A211" s="170"/>
      <c r="B211" s="170"/>
      <c r="C211" s="173"/>
      <c r="D211" s="170"/>
      <c r="E211" s="170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0"/>
      <c r="X211" s="170"/>
      <c r="Y211" s="170"/>
      <c r="Z211" s="170"/>
    </row>
    <row r="212" ht="12.75" customHeight="1">
      <c r="A212" s="170"/>
      <c r="B212" s="170"/>
      <c r="C212" s="173"/>
      <c r="D212" s="170"/>
      <c r="E212" s="170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0"/>
      <c r="X212" s="170"/>
      <c r="Y212" s="170"/>
      <c r="Z212" s="170"/>
    </row>
    <row r="213" ht="12.75" customHeight="1">
      <c r="A213" s="170"/>
      <c r="B213" s="170"/>
      <c r="C213" s="173"/>
      <c r="D213" s="170"/>
      <c r="E213" s="170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0"/>
      <c r="X213" s="170"/>
      <c r="Y213" s="170"/>
      <c r="Z213" s="170"/>
    </row>
    <row r="214" ht="12.75" customHeight="1">
      <c r="A214" s="170"/>
      <c r="B214" s="170"/>
      <c r="C214" s="173"/>
      <c r="D214" s="170"/>
      <c r="E214" s="170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0"/>
      <c r="X214" s="170"/>
      <c r="Y214" s="170"/>
      <c r="Z214" s="170"/>
    </row>
    <row r="215" ht="12.75" customHeight="1">
      <c r="A215" s="170"/>
      <c r="B215" s="170"/>
      <c r="C215" s="173"/>
      <c r="D215" s="170"/>
      <c r="E215" s="170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0"/>
      <c r="X215" s="170"/>
      <c r="Y215" s="170"/>
      <c r="Z215" s="170"/>
    </row>
    <row r="216" ht="12.75" customHeight="1">
      <c r="A216" s="170"/>
      <c r="B216" s="170"/>
      <c r="C216" s="173"/>
      <c r="D216" s="170"/>
      <c r="E216" s="170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0"/>
      <c r="X216" s="170"/>
      <c r="Y216" s="170"/>
      <c r="Z216" s="170"/>
    </row>
    <row r="217" ht="12.75" customHeight="1">
      <c r="A217" s="170"/>
      <c r="B217" s="170"/>
      <c r="C217" s="173"/>
      <c r="D217" s="170"/>
      <c r="E217" s="170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0"/>
      <c r="X217" s="170"/>
      <c r="Y217" s="170"/>
      <c r="Z217" s="170"/>
    </row>
    <row r="218" ht="12.75" customHeight="1">
      <c r="A218" s="170"/>
      <c r="B218" s="170"/>
      <c r="C218" s="173"/>
      <c r="D218" s="170"/>
      <c r="E218" s="170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0"/>
      <c r="X218" s="170"/>
      <c r="Y218" s="170"/>
      <c r="Z218" s="170"/>
    </row>
    <row r="219" ht="12.75" customHeight="1">
      <c r="A219" s="170"/>
      <c r="B219" s="170"/>
      <c r="C219" s="173"/>
      <c r="D219" s="170"/>
      <c r="E219" s="170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0"/>
      <c r="X219" s="170"/>
      <c r="Y219" s="170"/>
      <c r="Z219" s="170"/>
    </row>
    <row r="220" ht="12.75" customHeight="1">
      <c r="A220" s="170"/>
      <c r="B220" s="170"/>
      <c r="C220" s="173"/>
      <c r="D220" s="170"/>
      <c r="E220" s="170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0"/>
      <c r="X220" s="170"/>
      <c r="Y220" s="170"/>
      <c r="Z220" s="170"/>
    </row>
    <row r="221" ht="12.75" customHeight="1">
      <c r="A221" s="170"/>
      <c r="B221" s="170"/>
      <c r="C221" s="173"/>
      <c r="D221" s="170"/>
      <c r="E221" s="170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0"/>
      <c r="X221" s="170"/>
      <c r="Y221" s="170"/>
      <c r="Z221" s="170"/>
    </row>
    <row r="222" ht="12.75" customHeight="1">
      <c r="A222" s="170"/>
      <c r="B222" s="170"/>
      <c r="C222" s="173"/>
      <c r="D222" s="170"/>
      <c r="E222" s="170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0"/>
      <c r="X222" s="170"/>
      <c r="Y222" s="170"/>
      <c r="Z222" s="170"/>
    </row>
    <row r="223" ht="12.75" customHeight="1">
      <c r="A223" s="170"/>
      <c r="B223" s="170"/>
      <c r="C223" s="173"/>
      <c r="D223" s="170"/>
      <c r="E223" s="170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0"/>
      <c r="X223" s="170"/>
      <c r="Y223" s="170"/>
      <c r="Z223" s="170"/>
    </row>
    <row r="224" ht="12.75" customHeight="1">
      <c r="A224" s="170"/>
      <c r="B224" s="170"/>
      <c r="C224" s="173"/>
      <c r="D224" s="170"/>
      <c r="E224" s="170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0"/>
      <c r="X224" s="170"/>
      <c r="Y224" s="170"/>
      <c r="Z224" s="170"/>
    </row>
    <row r="225" ht="12.75" customHeight="1">
      <c r="A225" s="170"/>
      <c r="B225" s="170"/>
      <c r="C225" s="173"/>
      <c r="D225" s="170"/>
      <c r="E225" s="170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0"/>
      <c r="X225" s="170"/>
      <c r="Y225" s="170"/>
      <c r="Z225" s="170"/>
    </row>
    <row r="226" ht="12.75" customHeight="1">
      <c r="A226" s="170"/>
      <c r="B226" s="170"/>
      <c r="C226" s="173"/>
      <c r="D226" s="170"/>
      <c r="E226" s="170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0"/>
      <c r="X226" s="170"/>
      <c r="Y226" s="170"/>
      <c r="Z226" s="170"/>
    </row>
    <row r="227" ht="12.75" customHeight="1">
      <c r="A227" s="170"/>
      <c r="B227" s="170"/>
      <c r="C227" s="173"/>
      <c r="D227" s="170"/>
      <c r="E227" s="170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0"/>
      <c r="X227" s="170"/>
      <c r="Y227" s="170"/>
      <c r="Z227" s="170"/>
    </row>
    <row r="228" ht="12.75" customHeight="1">
      <c r="A228" s="170"/>
      <c r="B228" s="170"/>
      <c r="C228" s="173"/>
      <c r="D228" s="170"/>
      <c r="E228" s="170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0"/>
      <c r="X228" s="170"/>
      <c r="Y228" s="170"/>
      <c r="Z228" s="170"/>
    </row>
    <row r="229" ht="12.75" customHeight="1">
      <c r="A229" s="170"/>
      <c r="B229" s="170"/>
      <c r="C229" s="173"/>
      <c r="D229" s="170"/>
      <c r="E229" s="170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0"/>
      <c r="X229" s="170"/>
      <c r="Y229" s="170"/>
      <c r="Z229" s="17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2">
    <mergeCell ref="D15:E15"/>
    <mergeCell ref="D16:E16"/>
  </mergeCells>
  <dataValidations>
    <dataValidation type="list" allowBlank="1" sqref="E18:E22">
      <formula1>"Planeado,En Marcha,Listo"</formula1>
    </dataValidation>
    <dataValidation type="list" allowBlank="1" sqref="E3:E13 E23:E29">
      <formula1>"Planned,Ongoing,Done,Listo"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0"/>
    <col customWidth="1" min="2" max="2" width="28.44"/>
    <col customWidth="1" min="3" max="3" width="8.11"/>
    <col customWidth="1" min="4" max="4" width="10.44"/>
    <col customWidth="1" min="5" max="5" width="10.11"/>
    <col customWidth="1" min="6" max="6" width="7.22"/>
    <col customWidth="1" min="7" max="22" width="3.89"/>
    <col customWidth="1" min="23" max="23" width="10.44"/>
    <col customWidth="1" min="24" max="26" width="8.0"/>
  </cols>
  <sheetData>
    <row r="1" ht="12.75" customHeight="1">
      <c r="A1" s="170"/>
      <c r="B1" s="171">
        <v>5.0</v>
      </c>
      <c r="C1" s="172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2.75" customHeight="1">
      <c r="A2" s="170"/>
      <c r="B2" s="170"/>
      <c r="C2" s="173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2.75" customHeight="1">
      <c r="A3" s="170"/>
      <c r="B3" s="170"/>
      <c r="C3" s="173"/>
      <c r="D3" s="170"/>
      <c r="E3" s="170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0"/>
      <c r="X3" s="170"/>
      <c r="Y3" s="170"/>
      <c r="Z3" s="170"/>
    </row>
    <row r="4" ht="12.75" customHeight="1">
      <c r="A4" s="170"/>
      <c r="B4" s="170"/>
      <c r="C4" s="173"/>
      <c r="D4" s="170"/>
      <c r="E4" s="170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0"/>
      <c r="X4" s="170"/>
      <c r="Y4" s="170"/>
      <c r="Z4" s="170"/>
    </row>
    <row r="5" ht="12.75" customHeight="1">
      <c r="A5" s="170"/>
      <c r="B5" s="170"/>
      <c r="C5" s="173"/>
      <c r="D5" s="170"/>
      <c r="E5" s="170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0"/>
      <c r="X5" s="170"/>
      <c r="Y5" s="170"/>
      <c r="Z5" s="170"/>
    </row>
    <row r="6" ht="12.75" customHeight="1">
      <c r="A6" s="170"/>
      <c r="B6" s="170"/>
      <c r="C6" s="173"/>
      <c r="D6" s="170"/>
      <c r="E6" s="170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0"/>
      <c r="X6" s="170"/>
      <c r="Y6" s="170"/>
      <c r="Z6" s="170"/>
    </row>
    <row r="7" ht="12.75" customHeight="1">
      <c r="A7" s="170"/>
      <c r="B7" s="170"/>
      <c r="C7" s="173"/>
      <c r="D7" s="170"/>
      <c r="E7" s="170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0"/>
      <c r="X7" s="170"/>
      <c r="Y7" s="170"/>
      <c r="Z7" s="170"/>
    </row>
    <row r="8" ht="12.75" customHeight="1">
      <c r="A8" s="170"/>
      <c r="B8" s="170"/>
      <c r="C8" s="173"/>
      <c r="D8" s="170"/>
      <c r="E8" s="170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0"/>
      <c r="X8" s="170"/>
      <c r="Y8" s="170"/>
      <c r="Z8" s="170"/>
    </row>
    <row r="9" ht="12.75" customHeight="1">
      <c r="A9" s="170"/>
      <c r="B9" s="170"/>
      <c r="C9" s="173"/>
      <c r="D9" s="170"/>
      <c r="E9" s="170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0"/>
      <c r="X9" s="170"/>
      <c r="Y9" s="170"/>
      <c r="Z9" s="170"/>
    </row>
    <row r="10" ht="12.75" customHeight="1">
      <c r="A10" s="170"/>
      <c r="B10" s="170"/>
      <c r="C10" s="173"/>
      <c r="D10" s="170"/>
      <c r="E10" s="170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0"/>
      <c r="X10" s="170"/>
      <c r="Y10" s="170"/>
      <c r="Z10" s="170"/>
    </row>
    <row r="11" ht="12.75" customHeight="1">
      <c r="A11" s="170"/>
      <c r="B11" s="170"/>
      <c r="C11" s="173"/>
      <c r="D11" s="170"/>
      <c r="E11" s="170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0"/>
      <c r="X11" s="170"/>
      <c r="Y11" s="170"/>
      <c r="Z11" s="170"/>
    </row>
    <row r="12" ht="12.75" customHeight="1">
      <c r="A12" s="170"/>
      <c r="B12" s="170"/>
      <c r="C12" s="173"/>
      <c r="D12" s="170"/>
      <c r="E12" s="170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0"/>
      <c r="X12" s="170"/>
      <c r="Y12" s="170"/>
      <c r="Z12" s="170"/>
    </row>
    <row r="13" ht="12.75" customHeight="1">
      <c r="A13" s="170"/>
      <c r="B13" s="170"/>
      <c r="C13" s="173"/>
      <c r="D13" s="170"/>
      <c r="E13" s="170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0"/>
      <c r="X13" s="170"/>
      <c r="Y13" s="170"/>
      <c r="Z13" s="170"/>
    </row>
    <row r="14" ht="12.75" customHeight="1">
      <c r="A14" s="170"/>
      <c r="B14" s="174" t="s">
        <v>298</v>
      </c>
      <c r="C14" s="175">
        <v>8.0</v>
      </c>
      <c r="D14" s="174" t="s">
        <v>299</v>
      </c>
      <c r="E14" s="174" t="s">
        <v>300</v>
      </c>
      <c r="F14" s="176" t="s">
        <v>170</v>
      </c>
      <c r="G14" s="174" t="s">
        <v>301</v>
      </c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0"/>
      <c r="X14" s="170"/>
      <c r="Y14" s="170"/>
      <c r="Z14" s="170"/>
    </row>
    <row r="15" ht="15.75" customHeight="1">
      <c r="A15" s="178"/>
      <c r="B15" s="178"/>
      <c r="C15" s="178"/>
      <c r="D15" s="179" t="s">
        <v>302</v>
      </c>
      <c r="F15" s="179">
        <f>SUM(F18:F26)</f>
        <v>61</v>
      </c>
      <c r="G15" s="178">
        <f>'Sp5'!TaskRows-SUM(G18:G24)</f>
        <v>58</v>
      </c>
      <c r="H15" s="179">
        <f t="shared" ref="H15:U15" si="1">G15-SUM(H18:H24)</f>
        <v>45</v>
      </c>
      <c r="I15" s="179">
        <f t="shared" si="1"/>
        <v>32</v>
      </c>
      <c r="J15" s="179">
        <f t="shared" si="1"/>
        <v>26</v>
      </c>
      <c r="K15" s="179">
        <f t="shared" si="1"/>
        <v>19</v>
      </c>
      <c r="L15" s="179">
        <f t="shared" si="1"/>
        <v>11</v>
      </c>
      <c r="M15" s="179">
        <f t="shared" si="1"/>
        <v>11</v>
      </c>
      <c r="N15" s="179">
        <f t="shared" si="1"/>
        <v>11</v>
      </c>
      <c r="O15" s="179">
        <f t="shared" si="1"/>
        <v>11</v>
      </c>
      <c r="P15" s="179">
        <f t="shared" si="1"/>
        <v>11</v>
      </c>
      <c r="Q15" s="179">
        <f t="shared" si="1"/>
        <v>11</v>
      </c>
      <c r="R15" s="179">
        <f t="shared" si="1"/>
        <v>11</v>
      </c>
      <c r="S15" s="179">
        <f t="shared" si="1"/>
        <v>11</v>
      </c>
      <c r="T15" s="179">
        <f t="shared" si="1"/>
        <v>11</v>
      </c>
      <c r="U15" s="179">
        <f t="shared" si="1"/>
        <v>11</v>
      </c>
      <c r="V15" s="178"/>
      <c r="W15" s="178"/>
      <c r="X15" s="178"/>
      <c r="Y15" s="178"/>
      <c r="Z15" s="178"/>
    </row>
    <row r="16" ht="15.75" customHeight="1">
      <c r="A16" s="178"/>
      <c r="B16" s="178"/>
      <c r="C16" s="178"/>
      <c r="D16" s="180" t="s">
        <v>303</v>
      </c>
      <c r="F16" s="218">
        <f>SUM(F18:F26)</f>
        <v>61</v>
      </c>
      <c r="G16" s="219">
        <f>F16-(SUM($F$18:$F$26)/'Sp5'!ImplementationDays)</f>
        <v>53.375</v>
      </c>
      <c r="H16" s="219">
        <f>G16-(SUM($F$18:$F$26)/'Sp5'!ImplementationDays)</f>
        <v>45.75</v>
      </c>
      <c r="I16" s="219">
        <f>H16-(SUM($F$18:$F$26)/'Sp5'!ImplementationDays)</f>
        <v>38.125</v>
      </c>
      <c r="J16" s="219">
        <f>I16-(SUM($F$18:$F$26)/'Sp5'!ImplementationDays)</f>
        <v>30.5</v>
      </c>
      <c r="K16" s="219">
        <f>J16-(SUM($F$18:$F$26)/'Sp5'!ImplementationDays)</f>
        <v>22.875</v>
      </c>
      <c r="L16" s="219">
        <f>K16-(SUM($F$18:$F$26)/'Sp5'!ImplementationDays)</f>
        <v>15.25</v>
      </c>
      <c r="M16" s="219">
        <f>L16-(SUM($F$18:$F$26)/'Sp5'!ImplementationDays)</f>
        <v>7.625</v>
      </c>
      <c r="N16" s="219">
        <f>M16-(SUM($F$18:$F$26)/'Sp5'!ImplementationDays)</f>
        <v>0</v>
      </c>
      <c r="O16" s="219">
        <f>N16-(SUM($F$18:$F$26)/'Sp5'!ImplementationDays)</f>
        <v>-7.625</v>
      </c>
      <c r="P16" s="219">
        <f>O16-(SUM($F$18:$F$26)/'Sp5'!ImplementationDays)</f>
        <v>-15.25</v>
      </c>
      <c r="Q16" s="219">
        <f>P16-(SUM($F$18:$F$26)/'Sp5'!ImplementationDays)</f>
        <v>-22.875</v>
      </c>
      <c r="R16" s="219">
        <f>Q16-(SUM($F$18:$F$26)/'Sp5'!ImplementationDays)</f>
        <v>-30.5</v>
      </c>
      <c r="S16" s="219">
        <f>R16-(SUM($F$18:$F$26)/'Sp5'!ImplementationDays)</f>
        <v>-38.125</v>
      </c>
      <c r="T16" s="219">
        <f>S16-(SUM($F$18:$F$26)/'Sp5'!ImplementationDays)</f>
        <v>-45.75</v>
      </c>
      <c r="U16" s="219">
        <f>T16-(SUM($F$18:$F$26)/'Sp5'!ImplementationDays)</f>
        <v>-53.375</v>
      </c>
      <c r="V16" s="219">
        <f>U16-(SUM($F$18:$F$26)/'Sp5'!ImplementationDays)</f>
        <v>-61</v>
      </c>
      <c r="W16" s="178"/>
      <c r="X16" s="178"/>
      <c r="Y16" s="178"/>
      <c r="Z16" s="178"/>
    </row>
    <row r="17" ht="12.75" customHeight="1">
      <c r="A17" s="170"/>
      <c r="B17" s="194" t="s">
        <v>318</v>
      </c>
      <c r="C17" s="184" t="s">
        <v>305</v>
      </c>
      <c r="D17" s="183" t="s">
        <v>306</v>
      </c>
      <c r="E17" s="183" t="s">
        <v>307</v>
      </c>
      <c r="F17" s="184" t="s">
        <v>308</v>
      </c>
      <c r="G17" s="184">
        <v>1.0</v>
      </c>
      <c r="H17" s="184">
        <f t="shared" ref="H17:V17" si="2">IF($C$14&gt;G17,G17+1,"")</f>
        <v>2</v>
      </c>
      <c r="I17" s="184">
        <f t="shared" si="2"/>
        <v>3</v>
      </c>
      <c r="J17" s="184">
        <f t="shared" si="2"/>
        <v>4</v>
      </c>
      <c r="K17" s="184">
        <f t="shared" si="2"/>
        <v>5</v>
      </c>
      <c r="L17" s="184">
        <f t="shared" si="2"/>
        <v>6</v>
      </c>
      <c r="M17" s="184">
        <f t="shared" si="2"/>
        <v>7</v>
      </c>
      <c r="N17" s="184">
        <f t="shared" si="2"/>
        <v>8</v>
      </c>
      <c r="O17" s="184" t="str">
        <f t="shared" si="2"/>
        <v/>
      </c>
      <c r="P17" s="184" t="str">
        <f t="shared" si="2"/>
        <v/>
      </c>
      <c r="Q17" s="184" t="str">
        <f t="shared" si="2"/>
        <v/>
      </c>
      <c r="R17" s="184" t="str">
        <f t="shared" si="2"/>
        <v/>
      </c>
      <c r="S17" s="184" t="str">
        <f t="shared" si="2"/>
        <v/>
      </c>
      <c r="T17" s="184" t="str">
        <f t="shared" si="2"/>
        <v/>
      </c>
      <c r="U17" s="184" t="str">
        <f t="shared" si="2"/>
        <v/>
      </c>
      <c r="V17" s="184" t="str">
        <f t="shared" si="2"/>
        <v/>
      </c>
      <c r="W17" s="185" t="s">
        <v>309</v>
      </c>
      <c r="X17" s="170"/>
      <c r="Y17" s="170"/>
      <c r="Z17" s="170"/>
    </row>
    <row r="18" ht="32.25" customHeight="1">
      <c r="A18" s="170"/>
      <c r="B18" s="186" t="s">
        <v>234</v>
      </c>
      <c r="C18" s="188" t="s">
        <v>114</v>
      </c>
      <c r="D18" s="220" t="s">
        <v>319</v>
      </c>
      <c r="E18" s="191" t="s">
        <v>316</v>
      </c>
      <c r="F18" s="188">
        <v>3.0</v>
      </c>
      <c r="G18" s="188">
        <v>3.0</v>
      </c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90">
        <f t="shared" ref="W18:W26" si="3">SUM(G18:V18)</f>
        <v>3</v>
      </c>
      <c r="X18" s="170"/>
      <c r="Y18" s="170"/>
      <c r="Z18" s="170"/>
    </row>
    <row r="19" ht="38.25" customHeight="1">
      <c r="A19" s="170"/>
      <c r="B19" s="186" t="s">
        <v>235</v>
      </c>
      <c r="C19" s="188" t="s">
        <v>114</v>
      </c>
      <c r="D19" s="191" t="s">
        <v>319</v>
      </c>
      <c r="E19" s="191" t="s">
        <v>316</v>
      </c>
      <c r="F19" s="188">
        <v>8.0</v>
      </c>
      <c r="G19" s="187"/>
      <c r="H19" s="188">
        <v>8.0</v>
      </c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90">
        <f t="shared" si="3"/>
        <v>8</v>
      </c>
      <c r="X19" s="170"/>
      <c r="Y19" s="170"/>
      <c r="Z19" s="170"/>
    </row>
    <row r="20" ht="37.5" customHeight="1">
      <c r="A20" s="170"/>
      <c r="B20" s="186" t="s">
        <v>236</v>
      </c>
      <c r="C20" s="188" t="s">
        <v>117</v>
      </c>
      <c r="D20" s="191" t="s">
        <v>158</v>
      </c>
      <c r="E20" s="191" t="s">
        <v>316</v>
      </c>
      <c r="F20" s="188">
        <v>5.0</v>
      </c>
      <c r="G20" s="187"/>
      <c r="H20" s="188">
        <v>5.0</v>
      </c>
      <c r="I20" s="188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90">
        <f t="shared" si="3"/>
        <v>5</v>
      </c>
      <c r="X20" s="170"/>
      <c r="Y20" s="170"/>
      <c r="Z20" s="170"/>
    </row>
    <row r="21" ht="32.25" customHeight="1">
      <c r="A21" s="170"/>
      <c r="B21" s="186" t="s">
        <v>237</v>
      </c>
      <c r="C21" s="188" t="s">
        <v>117</v>
      </c>
      <c r="D21" s="191" t="s">
        <v>158</v>
      </c>
      <c r="E21" s="191" t="s">
        <v>316</v>
      </c>
      <c r="F21" s="188">
        <v>5.0</v>
      </c>
      <c r="G21" s="187"/>
      <c r="H21" s="187"/>
      <c r="I21" s="188">
        <v>5.0</v>
      </c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90">
        <f t="shared" si="3"/>
        <v>5</v>
      </c>
      <c r="X21" s="170"/>
      <c r="Y21" s="170"/>
      <c r="Z21" s="170"/>
    </row>
    <row r="22" ht="38.25" customHeight="1">
      <c r="A22" s="170"/>
      <c r="B22" s="186" t="s">
        <v>238</v>
      </c>
      <c r="C22" s="188" t="s">
        <v>120</v>
      </c>
      <c r="D22" s="191" t="s">
        <v>157</v>
      </c>
      <c r="E22" s="191" t="s">
        <v>316</v>
      </c>
      <c r="F22" s="188">
        <v>13.0</v>
      </c>
      <c r="G22" s="187"/>
      <c r="H22" s="187"/>
      <c r="I22" s="187"/>
      <c r="J22" s="188">
        <v>6.0</v>
      </c>
      <c r="K22" s="188">
        <v>7.0</v>
      </c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90">
        <f t="shared" si="3"/>
        <v>13</v>
      </c>
      <c r="X22" s="170"/>
      <c r="Y22" s="170"/>
      <c r="Z22" s="170"/>
    </row>
    <row r="23" ht="33.0" customHeight="1">
      <c r="A23" s="170"/>
      <c r="B23" s="186" t="s">
        <v>239</v>
      </c>
      <c r="C23" s="188" t="s">
        <v>120</v>
      </c>
      <c r="D23" s="191" t="s">
        <v>157</v>
      </c>
      <c r="E23" s="191" t="s">
        <v>316</v>
      </c>
      <c r="F23" s="188">
        <v>8.0</v>
      </c>
      <c r="G23" s="187"/>
      <c r="H23" s="187"/>
      <c r="I23" s="187"/>
      <c r="J23" s="187"/>
      <c r="K23" s="187"/>
      <c r="L23" s="188">
        <v>8.0</v>
      </c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90">
        <f t="shared" si="3"/>
        <v>8</v>
      </c>
      <c r="X23" s="170"/>
      <c r="Y23" s="170"/>
      <c r="Z23" s="170"/>
    </row>
    <row r="24" ht="39.0" customHeight="1">
      <c r="A24" s="170"/>
      <c r="B24" s="186" t="s">
        <v>242</v>
      </c>
      <c r="C24" s="188" t="s">
        <v>240</v>
      </c>
      <c r="D24" s="191" t="s">
        <v>156</v>
      </c>
      <c r="E24" s="191" t="s">
        <v>316</v>
      </c>
      <c r="F24" s="188">
        <v>8.0</v>
      </c>
      <c r="G24" s="187"/>
      <c r="H24" s="187"/>
      <c r="I24" s="188">
        <v>8.0</v>
      </c>
      <c r="J24" s="188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90">
        <f t="shared" si="3"/>
        <v>8</v>
      </c>
      <c r="X24" s="170"/>
      <c r="Y24" s="170"/>
      <c r="Z24" s="170"/>
    </row>
    <row r="25" ht="38.25" customHeight="1">
      <c r="A25" s="170"/>
      <c r="B25" s="186" t="s">
        <v>243</v>
      </c>
      <c r="C25" s="188" t="s">
        <v>320</v>
      </c>
      <c r="D25" s="191" t="s">
        <v>156</v>
      </c>
      <c r="E25" s="191" t="s">
        <v>316</v>
      </c>
      <c r="F25" s="188">
        <v>8.0</v>
      </c>
      <c r="G25" s="187"/>
      <c r="H25" s="187"/>
      <c r="I25" s="187"/>
      <c r="J25" s="187"/>
      <c r="K25" s="187"/>
      <c r="L25" s="187"/>
      <c r="M25" s="188">
        <v>8.0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90">
        <f t="shared" si="3"/>
        <v>8</v>
      </c>
      <c r="X25" s="170"/>
      <c r="Y25" s="170"/>
      <c r="Z25" s="170"/>
    </row>
    <row r="26" ht="44.25" customHeight="1">
      <c r="A26" s="170"/>
      <c r="B26" s="186" t="s">
        <v>244</v>
      </c>
      <c r="C26" s="188" t="s">
        <v>320</v>
      </c>
      <c r="D26" s="191" t="s">
        <v>156</v>
      </c>
      <c r="E26" s="191" t="s">
        <v>316</v>
      </c>
      <c r="F26" s="188">
        <v>3.0</v>
      </c>
      <c r="G26" s="187"/>
      <c r="H26" s="187"/>
      <c r="I26" s="187"/>
      <c r="J26" s="187"/>
      <c r="K26" s="187"/>
      <c r="L26" s="187"/>
      <c r="M26" s="187"/>
      <c r="N26" s="188">
        <v>3.0</v>
      </c>
      <c r="O26" s="187"/>
      <c r="P26" s="187"/>
      <c r="Q26" s="187"/>
      <c r="R26" s="187"/>
      <c r="S26" s="187"/>
      <c r="T26" s="187"/>
      <c r="U26" s="187"/>
      <c r="V26" s="187"/>
      <c r="W26" s="190">
        <f t="shared" si="3"/>
        <v>3</v>
      </c>
      <c r="X26" s="170"/>
      <c r="Y26" s="170"/>
      <c r="Z26" s="170"/>
    </row>
    <row r="27" ht="12.75" customHeight="1">
      <c r="A27" s="170"/>
      <c r="B27" s="170"/>
      <c r="C27" s="221"/>
      <c r="D27" s="201"/>
      <c r="E27" s="221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0"/>
      <c r="X27" s="170"/>
      <c r="Y27" s="170"/>
      <c r="Z27" s="170"/>
    </row>
    <row r="28" ht="12.75" customHeight="1">
      <c r="A28" s="170"/>
      <c r="B28" s="170"/>
      <c r="C28" s="173"/>
      <c r="D28" s="178"/>
      <c r="E28" s="170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0"/>
      <c r="X28" s="170"/>
      <c r="Y28" s="170"/>
      <c r="Z28" s="170"/>
    </row>
    <row r="29" ht="12.75" customHeight="1">
      <c r="A29" s="170"/>
      <c r="B29" s="170"/>
      <c r="C29" s="173"/>
      <c r="D29" s="178"/>
      <c r="E29" s="170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0"/>
      <c r="X29" s="170"/>
      <c r="Y29" s="170"/>
      <c r="Z29" s="170"/>
    </row>
    <row r="30" ht="12.75" customHeight="1">
      <c r="A30" s="170"/>
      <c r="B30" s="170"/>
      <c r="C30" s="173"/>
      <c r="D30" s="178"/>
      <c r="E30" s="170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0"/>
      <c r="X30" s="170"/>
      <c r="Y30" s="170"/>
      <c r="Z30" s="170"/>
    </row>
    <row r="31" ht="12.75" customHeight="1">
      <c r="A31" s="170"/>
      <c r="B31" s="170"/>
      <c r="C31" s="173"/>
      <c r="D31" s="178"/>
      <c r="E31" s="170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0"/>
      <c r="X31" s="170"/>
      <c r="Y31" s="170"/>
      <c r="Z31" s="170"/>
    </row>
    <row r="32" ht="12.75" customHeight="1">
      <c r="A32" s="170"/>
      <c r="B32" s="170"/>
      <c r="C32" s="173"/>
      <c r="D32" s="178"/>
      <c r="E32" s="170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0"/>
      <c r="X32" s="170"/>
      <c r="Y32" s="170"/>
      <c r="Z32" s="170"/>
    </row>
    <row r="33" ht="12.75" customHeight="1">
      <c r="A33" s="170"/>
      <c r="B33" s="170"/>
      <c r="C33" s="173"/>
      <c r="D33" s="178"/>
      <c r="E33" s="170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0"/>
      <c r="X33" s="170"/>
      <c r="Y33" s="170"/>
      <c r="Z33" s="170"/>
    </row>
    <row r="34" ht="12.75" customHeight="1">
      <c r="A34" s="170"/>
      <c r="B34" s="170"/>
      <c r="C34" s="173"/>
      <c r="D34" s="178"/>
      <c r="E34" s="170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0"/>
      <c r="X34" s="170"/>
      <c r="Y34" s="170"/>
      <c r="Z34" s="170"/>
    </row>
    <row r="35" ht="12.75" customHeight="1">
      <c r="A35" s="170"/>
      <c r="B35" s="170"/>
      <c r="C35" s="173"/>
      <c r="D35" s="178"/>
      <c r="E35" s="170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0"/>
      <c r="X35" s="170"/>
      <c r="Y35" s="170"/>
      <c r="Z35" s="170"/>
    </row>
    <row r="36" ht="12.75" customHeight="1">
      <c r="A36" s="170"/>
      <c r="B36" s="170"/>
      <c r="C36" s="173"/>
      <c r="D36" s="178"/>
      <c r="E36" s="170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0"/>
      <c r="X36" s="170"/>
      <c r="Y36" s="170"/>
      <c r="Z36" s="170"/>
    </row>
    <row r="37" ht="12.75" customHeight="1">
      <c r="A37" s="170"/>
      <c r="B37" s="170"/>
      <c r="C37" s="173"/>
      <c r="D37" s="178"/>
      <c r="E37" s="170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0"/>
      <c r="X37" s="170"/>
      <c r="Y37" s="170"/>
      <c r="Z37" s="170"/>
    </row>
    <row r="38" ht="12.75" customHeight="1">
      <c r="A38" s="170"/>
      <c r="B38" s="170"/>
      <c r="C38" s="173"/>
      <c r="D38" s="178"/>
      <c r="E38" s="170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0"/>
      <c r="X38" s="170"/>
      <c r="Y38" s="170"/>
      <c r="Z38" s="170"/>
    </row>
    <row r="39" ht="12.75" customHeight="1">
      <c r="A39" s="170"/>
      <c r="B39" s="170"/>
      <c r="C39" s="173"/>
      <c r="D39" s="178"/>
      <c r="E39" s="170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0"/>
      <c r="X39" s="170"/>
      <c r="Y39" s="170"/>
      <c r="Z39" s="170"/>
    </row>
    <row r="40" ht="12.75" customHeight="1">
      <c r="A40" s="170"/>
      <c r="B40" s="170"/>
      <c r="C40" s="173"/>
      <c r="D40" s="178"/>
      <c r="E40" s="170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0"/>
      <c r="X40" s="170"/>
      <c r="Y40" s="170"/>
      <c r="Z40" s="170"/>
    </row>
    <row r="41" ht="12.75" customHeight="1">
      <c r="A41" s="170"/>
      <c r="B41" s="170"/>
      <c r="C41" s="173"/>
      <c r="D41" s="178"/>
      <c r="E41" s="170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0"/>
      <c r="X41" s="170"/>
      <c r="Y41" s="170"/>
      <c r="Z41" s="170"/>
    </row>
    <row r="42" ht="12.75" customHeight="1">
      <c r="A42" s="170"/>
      <c r="B42" s="170"/>
      <c r="C42" s="173"/>
      <c r="D42" s="178"/>
      <c r="E42" s="170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0"/>
      <c r="X42" s="170"/>
      <c r="Y42" s="170"/>
      <c r="Z42" s="170"/>
    </row>
    <row r="43" ht="12.75" customHeight="1">
      <c r="A43" s="170"/>
      <c r="B43" s="170"/>
      <c r="C43" s="173"/>
      <c r="D43" s="178"/>
      <c r="E43" s="170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0"/>
      <c r="X43" s="170"/>
      <c r="Y43" s="170"/>
      <c r="Z43" s="170"/>
    </row>
    <row r="44" ht="12.75" customHeight="1">
      <c r="A44" s="170"/>
      <c r="B44" s="170"/>
      <c r="C44" s="173"/>
      <c r="D44" s="178"/>
      <c r="E44" s="170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0"/>
      <c r="X44" s="170"/>
      <c r="Y44" s="170"/>
      <c r="Z44" s="170"/>
    </row>
    <row r="45" ht="12.75" customHeight="1">
      <c r="A45" s="170"/>
      <c r="B45" s="170"/>
      <c r="C45" s="173"/>
      <c r="D45" s="178"/>
      <c r="E45" s="170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0"/>
      <c r="X45" s="170"/>
      <c r="Y45" s="170"/>
      <c r="Z45" s="170"/>
    </row>
    <row r="46" ht="12.75" customHeight="1">
      <c r="A46" s="170"/>
      <c r="B46" s="170"/>
      <c r="C46" s="173"/>
      <c r="D46" s="178"/>
      <c r="E46" s="170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0"/>
      <c r="X46" s="170"/>
      <c r="Y46" s="170"/>
      <c r="Z46" s="170"/>
    </row>
    <row r="47" ht="12.75" customHeight="1">
      <c r="A47" s="170"/>
      <c r="B47" s="170"/>
      <c r="C47" s="173"/>
      <c r="D47" s="178"/>
      <c r="E47" s="170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0"/>
      <c r="X47" s="170"/>
      <c r="Y47" s="170"/>
      <c r="Z47" s="170"/>
    </row>
    <row r="48" ht="12.75" customHeight="1">
      <c r="A48" s="170"/>
      <c r="B48" s="170"/>
      <c r="C48" s="173"/>
      <c r="D48" s="178"/>
      <c r="E48" s="170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0"/>
      <c r="X48" s="170"/>
      <c r="Y48" s="170"/>
      <c r="Z48" s="170"/>
    </row>
    <row r="49" ht="12.75" customHeight="1">
      <c r="A49" s="170"/>
      <c r="B49" s="170"/>
      <c r="C49" s="173"/>
      <c r="D49" s="178"/>
      <c r="E49" s="170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0"/>
      <c r="X49" s="170"/>
      <c r="Y49" s="170"/>
      <c r="Z49" s="170"/>
    </row>
    <row r="50" ht="12.75" customHeight="1">
      <c r="A50" s="170"/>
      <c r="B50" s="170"/>
      <c r="C50" s="173"/>
      <c r="D50" s="170"/>
      <c r="E50" s="170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0"/>
      <c r="X50" s="170"/>
      <c r="Y50" s="170"/>
      <c r="Z50" s="170"/>
    </row>
    <row r="51" ht="12.75" customHeight="1">
      <c r="A51" s="170"/>
      <c r="B51" s="170"/>
      <c r="C51" s="173"/>
      <c r="D51" s="170"/>
      <c r="E51" s="170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0"/>
      <c r="X51" s="170"/>
      <c r="Y51" s="170"/>
      <c r="Z51" s="170"/>
    </row>
    <row r="52" ht="12.75" customHeight="1">
      <c r="A52" s="170"/>
      <c r="B52" s="170"/>
      <c r="C52" s="173"/>
      <c r="D52" s="170"/>
      <c r="E52" s="170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0"/>
      <c r="X52" s="170"/>
      <c r="Y52" s="170"/>
      <c r="Z52" s="170"/>
    </row>
    <row r="53" ht="12.75" customHeight="1">
      <c r="A53" s="170"/>
      <c r="B53" s="170"/>
      <c r="C53" s="173"/>
      <c r="D53" s="170"/>
      <c r="E53" s="170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0"/>
      <c r="X53" s="170"/>
      <c r="Y53" s="170"/>
      <c r="Z53" s="170"/>
    </row>
    <row r="54" ht="12.75" customHeight="1">
      <c r="A54" s="170"/>
      <c r="B54" s="170"/>
      <c r="C54" s="173"/>
      <c r="D54" s="170"/>
      <c r="E54" s="170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0"/>
      <c r="X54" s="170"/>
      <c r="Y54" s="170"/>
      <c r="Z54" s="170"/>
    </row>
    <row r="55" ht="12.75" customHeight="1">
      <c r="A55" s="170"/>
      <c r="B55" s="170"/>
      <c r="C55" s="173"/>
      <c r="D55" s="170"/>
      <c r="E55" s="170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0"/>
      <c r="X55" s="170"/>
      <c r="Y55" s="170"/>
      <c r="Z55" s="170"/>
    </row>
    <row r="56" ht="12.75" customHeight="1">
      <c r="A56" s="170"/>
      <c r="B56" s="170"/>
      <c r="C56" s="173"/>
      <c r="D56" s="170"/>
      <c r="E56" s="170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0"/>
      <c r="X56" s="170"/>
      <c r="Y56" s="170"/>
      <c r="Z56" s="170"/>
    </row>
    <row r="57" ht="12.75" customHeight="1">
      <c r="A57" s="170"/>
      <c r="B57" s="170"/>
      <c r="C57" s="173"/>
      <c r="D57" s="170"/>
      <c r="E57" s="170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0"/>
      <c r="X57" s="170"/>
      <c r="Y57" s="170"/>
      <c r="Z57" s="170"/>
    </row>
    <row r="58" ht="12.75" customHeight="1">
      <c r="A58" s="170"/>
      <c r="B58" s="170"/>
      <c r="C58" s="173"/>
      <c r="D58" s="170"/>
      <c r="E58" s="170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0"/>
      <c r="X58" s="170"/>
      <c r="Y58" s="170"/>
      <c r="Z58" s="170"/>
    </row>
    <row r="59" ht="12.75" customHeight="1">
      <c r="A59" s="170"/>
      <c r="B59" s="170"/>
      <c r="C59" s="173"/>
      <c r="D59" s="170"/>
      <c r="E59" s="170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0"/>
      <c r="X59" s="170"/>
      <c r="Y59" s="170"/>
      <c r="Z59" s="170"/>
    </row>
    <row r="60" ht="12.75" customHeight="1">
      <c r="A60" s="170"/>
      <c r="B60" s="170"/>
      <c r="C60" s="173"/>
      <c r="D60" s="170"/>
      <c r="E60" s="170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0"/>
      <c r="X60" s="170"/>
      <c r="Y60" s="170"/>
      <c r="Z60" s="170"/>
    </row>
    <row r="61" ht="12.75" customHeight="1">
      <c r="A61" s="170"/>
      <c r="B61" s="170"/>
      <c r="C61" s="173"/>
      <c r="D61" s="170"/>
      <c r="E61" s="170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0"/>
      <c r="X61" s="170"/>
      <c r="Y61" s="170"/>
      <c r="Z61" s="170"/>
    </row>
    <row r="62" ht="12.75" customHeight="1">
      <c r="A62" s="170"/>
      <c r="B62" s="170"/>
      <c r="C62" s="173"/>
      <c r="D62" s="170"/>
      <c r="E62" s="170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0"/>
      <c r="X62" s="170"/>
      <c r="Y62" s="170"/>
      <c r="Z62" s="170"/>
    </row>
    <row r="63" ht="12.75" customHeight="1">
      <c r="A63" s="170"/>
      <c r="B63" s="170"/>
      <c r="C63" s="173"/>
      <c r="D63" s="170"/>
      <c r="E63" s="170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0"/>
      <c r="X63" s="170"/>
      <c r="Y63" s="170"/>
      <c r="Z63" s="170"/>
    </row>
    <row r="64" ht="12.75" customHeight="1">
      <c r="A64" s="170"/>
      <c r="B64" s="170"/>
      <c r="C64" s="173"/>
      <c r="D64" s="170"/>
      <c r="E64" s="170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0"/>
      <c r="X64" s="170"/>
      <c r="Y64" s="170"/>
      <c r="Z64" s="170"/>
    </row>
    <row r="65" ht="12.75" customHeight="1">
      <c r="A65" s="170"/>
      <c r="B65" s="170"/>
      <c r="C65" s="173"/>
      <c r="D65" s="170"/>
      <c r="E65" s="170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0"/>
      <c r="X65" s="170"/>
      <c r="Y65" s="170"/>
      <c r="Z65" s="170"/>
    </row>
    <row r="66" ht="12.75" customHeight="1">
      <c r="A66" s="170"/>
      <c r="B66" s="170"/>
      <c r="C66" s="173"/>
      <c r="D66" s="170"/>
      <c r="E66" s="170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0"/>
      <c r="X66" s="170"/>
      <c r="Y66" s="170"/>
      <c r="Z66" s="170"/>
    </row>
    <row r="67" ht="12.75" customHeight="1">
      <c r="A67" s="170"/>
      <c r="B67" s="170"/>
      <c r="C67" s="173"/>
      <c r="D67" s="170"/>
      <c r="E67" s="170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0"/>
      <c r="X67" s="170"/>
      <c r="Y67" s="170"/>
      <c r="Z67" s="170"/>
    </row>
    <row r="68" ht="12.75" customHeight="1">
      <c r="A68" s="170"/>
      <c r="B68" s="170"/>
      <c r="C68" s="173"/>
      <c r="D68" s="170"/>
      <c r="E68" s="170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0"/>
      <c r="X68" s="170"/>
      <c r="Y68" s="170"/>
      <c r="Z68" s="170"/>
    </row>
    <row r="69" ht="12.75" customHeight="1">
      <c r="A69" s="170"/>
      <c r="B69" s="170"/>
      <c r="C69" s="173"/>
      <c r="D69" s="170"/>
      <c r="E69" s="170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0"/>
      <c r="X69" s="170"/>
      <c r="Y69" s="170"/>
      <c r="Z69" s="170"/>
    </row>
    <row r="70" ht="12.75" customHeight="1">
      <c r="A70" s="170"/>
      <c r="B70" s="170"/>
      <c r="C70" s="173"/>
      <c r="D70" s="170"/>
      <c r="E70" s="170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0"/>
      <c r="X70" s="170"/>
      <c r="Y70" s="170"/>
      <c r="Z70" s="170"/>
    </row>
    <row r="71" ht="12.75" customHeight="1">
      <c r="A71" s="170"/>
      <c r="B71" s="170"/>
      <c r="C71" s="173"/>
      <c r="D71" s="170"/>
      <c r="E71" s="170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0"/>
      <c r="X71" s="170"/>
      <c r="Y71" s="170"/>
      <c r="Z71" s="170"/>
    </row>
    <row r="72" ht="12.75" customHeight="1">
      <c r="A72" s="170"/>
      <c r="B72" s="170"/>
      <c r="C72" s="173"/>
      <c r="D72" s="170"/>
      <c r="E72" s="170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0"/>
      <c r="X72" s="170"/>
      <c r="Y72" s="170"/>
      <c r="Z72" s="170"/>
    </row>
    <row r="73" ht="12.75" customHeight="1">
      <c r="A73" s="170"/>
      <c r="B73" s="170"/>
      <c r="C73" s="173"/>
      <c r="D73" s="170"/>
      <c r="E73" s="170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0"/>
      <c r="X73" s="170"/>
      <c r="Y73" s="170"/>
      <c r="Z73" s="170"/>
    </row>
    <row r="74" ht="12.75" customHeight="1">
      <c r="A74" s="170"/>
      <c r="B74" s="170"/>
      <c r="C74" s="173"/>
      <c r="D74" s="170"/>
      <c r="E74" s="170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0"/>
      <c r="X74" s="170"/>
      <c r="Y74" s="170"/>
      <c r="Z74" s="170"/>
    </row>
    <row r="75" ht="12.75" customHeight="1">
      <c r="A75" s="170"/>
      <c r="B75" s="170"/>
      <c r="C75" s="173"/>
      <c r="D75" s="170"/>
      <c r="E75" s="170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0"/>
      <c r="X75" s="170"/>
      <c r="Y75" s="170"/>
      <c r="Z75" s="170"/>
    </row>
    <row r="76" ht="12.75" customHeight="1">
      <c r="A76" s="170"/>
      <c r="B76" s="170"/>
      <c r="C76" s="173"/>
      <c r="D76" s="170"/>
      <c r="E76" s="170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0"/>
      <c r="X76" s="170"/>
      <c r="Y76" s="170"/>
      <c r="Z76" s="170"/>
    </row>
    <row r="77" ht="12.75" customHeight="1">
      <c r="A77" s="170"/>
      <c r="B77" s="170"/>
      <c r="C77" s="173"/>
      <c r="D77" s="170"/>
      <c r="E77" s="170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0"/>
      <c r="X77" s="170"/>
      <c r="Y77" s="170"/>
      <c r="Z77" s="170"/>
    </row>
    <row r="78" ht="12.75" customHeight="1">
      <c r="A78" s="170"/>
      <c r="B78" s="170"/>
      <c r="C78" s="173"/>
      <c r="D78" s="170"/>
      <c r="E78" s="170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0"/>
      <c r="X78" s="170"/>
      <c r="Y78" s="170"/>
      <c r="Z78" s="170"/>
    </row>
    <row r="79" ht="12.75" customHeight="1">
      <c r="A79" s="170"/>
      <c r="B79" s="170"/>
      <c r="C79" s="173"/>
      <c r="D79" s="170"/>
      <c r="E79" s="170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0"/>
      <c r="X79" s="170"/>
      <c r="Y79" s="170"/>
      <c r="Z79" s="170"/>
    </row>
    <row r="80" ht="12.75" customHeight="1">
      <c r="A80" s="170"/>
      <c r="B80" s="170"/>
      <c r="C80" s="173"/>
      <c r="D80" s="170"/>
      <c r="E80" s="170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0"/>
      <c r="X80" s="170"/>
      <c r="Y80" s="170"/>
      <c r="Z80" s="170"/>
    </row>
    <row r="81" ht="12.75" customHeight="1">
      <c r="A81" s="170"/>
      <c r="B81" s="170"/>
      <c r="C81" s="173"/>
      <c r="D81" s="170"/>
      <c r="E81" s="170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0"/>
      <c r="X81" s="170"/>
      <c r="Y81" s="170"/>
      <c r="Z81" s="170"/>
    </row>
    <row r="82" ht="12.75" customHeight="1">
      <c r="A82" s="170"/>
      <c r="B82" s="170"/>
      <c r="C82" s="173"/>
      <c r="D82" s="170"/>
      <c r="E82" s="170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0"/>
      <c r="X82" s="170"/>
      <c r="Y82" s="170"/>
      <c r="Z82" s="170"/>
    </row>
    <row r="83" ht="12.75" customHeight="1">
      <c r="A83" s="170"/>
      <c r="B83" s="170"/>
      <c r="C83" s="173"/>
      <c r="D83" s="170"/>
      <c r="E83" s="170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0"/>
      <c r="X83" s="170"/>
      <c r="Y83" s="170"/>
      <c r="Z83" s="170"/>
    </row>
    <row r="84" ht="12.75" customHeight="1">
      <c r="A84" s="170"/>
      <c r="B84" s="170"/>
      <c r="C84" s="173"/>
      <c r="D84" s="170"/>
      <c r="E84" s="170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0"/>
      <c r="X84" s="170"/>
      <c r="Y84" s="170"/>
      <c r="Z84" s="170"/>
    </row>
    <row r="85" ht="12.75" customHeight="1">
      <c r="A85" s="170"/>
      <c r="B85" s="170"/>
      <c r="C85" s="173"/>
      <c r="D85" s="170"/>
      <c r="E85" s="170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0"/>
      <c r="X85" s="170"/>
      <c r="Y85" s="170"/>
      <c r="Z85" s="170"/>
    </row>
    <row r="86" ht="12.75" customHeight="1">
      <c r="A86" s="170"/>
      <c r="B86" s="170"/>
      <c r="C86" s="173"/>
      <c r="D86" s="170"/>
      <c r="E86" s="170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0"/>
      <c r="X86" s="170"/>
      <c r="Y86" s="170"/>
      <c r="Z86" s="170"/>
    </row>
    <row r="87" ht="12.75" customHeight="1">
      <c r="A87" s="170"/>
      <c r="B87" s="170"/>
      <c r="C87" s="173"/>
      <c r="D87" s="170"/>
      <c r="E87" s="170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0"/>
      <c r="X87" s="170"/>
      <c r="Y87" s="170"/>
      <c r="Z87" s="170"/>
    </row>
    <row r="88" ht="12.75" customHeight="1">
      <c r="A88" s="170"/>
      <c r="B88" s="170"/>
      <c r="C88" s="173"/>
      <c r="D88" s="170"/>
      <c r="E88" s="170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0"/>
      <c r="X88" s="170"/>
      <c r="Y88" s="170"/>
      <c r="Z88" s="170"/>
    </row>
    <row r="89" ht="12.75" customHeight="1">
      <c r="A89" s="170"/>
      <c r="B89" s="170"/>
      <c r="C89" s="173"/>
      <c r="D89" s="170"/>
      <c r="E89" s="170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0"/>
      <c r="X89" s="170"/>
      <c r="Y89" s="170"/>
      <c r="Z89" s="170"/>
    </row>
    <row r="90" ht="12.75" customHeight="1">
      <c r="A90" s="170"/>
      <c r="B90" s="170"/>
      <c r="C90" s="173"/>
      <c r="D90" s="170"/>
      <c r="E90" s="170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0"/>
      <c r="X90" s="170"/>
      <c r="Y90" s="170"/>
      <c r="Z90" s="170"/>
    </row>
    <row r="91" ht="12.75" customHeight="1">
      <c r="A91" s="170"/>
      <c r="B91" s="170"/>
      <c r="C91" s="173"/>
      <c r="D91" s="170"/>
      <c r="E91" s="170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0"/>
      <c r="X91" s="170"/>
      <c r="Y91" s="170"/>
      <c r="Z91" s="170"/>
    </row>
    <row r="92" ht="12.75" customHeight="1">
      <c r="A92" s="170"/>
      <c r="B92" s="170"/>
      <c r="C92" s="173"/>
      <c r="D92" s="170"/>
      <c r="E92" s="170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0"/>
      <c r="X92" s="170"/>
      <c r="Y92" s="170"/>
      <c r="Z92" s="170"/>
    </row>
    <row r="93" ht="12.75" customHeight="1">
      <c r="A93" s="170"/>
      <c r="B93" s="170"/>
      <c r="C93" s="173"/>
      <c r="D93" s="170"/>
      <c r="E93" s="170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0"/>
      <c r="X93" s="170"/>
      <c r="Y93" s="170"/>
      <c r="Z93" s="170"/>
    </row>
    <row r="94" ht="12.75" customHeight="1">
      <c r="A94" s="170"/>
      <c r="B94" s="170"/>
      <c r="C94" s="173"/>
      <c r="D94" s="170"/>
      <c r="E94" s="170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0"/>
      <c r="X94" s="170"/>
      <c r="Y94" s="170"/>
      <c r="Z94" s="170"/>
    </row>
    <row r="95" ht="12.75" customHeight="1">
      <c r="A95" s="170"/>
      <c r="B95" s="170"/>
      <c r="C95" s="173"/>
      <c r="D95" s="170"/>
      <c r="E95" s="170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0"/>
      <c r="X95" s="170"/>
      <c r="Y95" s="170"/>
      <c r="Z95" s="170"/>
    </row>
    <row r="96" ht="12.75" customHeight="1">
      <c r="A96" s="170"/>
      <c r="B96" s="170"/>
      <c r="C96" s="173"/>
      <c r="D96" s="170"/>
      <c r="E96" s="170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0"/>
      <c r="X96" s="170"/>
      <c r="Y96" s="170"/>
      <c r="Z96" s="170"/>
    </row>
    <row r="97" ht="12.75" customHeight="1">
      <c r="A97" s="170"/>
      <c r="B97" s="170"/>
      <c r="C97" s="173"/>
      <c r="D97" s="170"/>
      <c r="E97" s="170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0"/>
      <c r="X97" s="170"/>
      <c r="Y97" s="170"/>
      <c r="Z97" s="170"/>
    </row>
    <row r="98" ht="12.75" customHeight="1">
      <c r="A98" s="170"/>
      <c r="B98" s="170"/>
      <c r="C98" s="173"/>
      <c r="D98" s="170"/>
      <c r="E98" s="170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0"/>
      <c r="X98" s="170"/>
      <c r="Y98" s="170"/>
      <c r="Z98" s="170"/>
    </row>
    <row r="99" ht="12.75" customHeight="1">
      <c r="A99" s="170"/>
      <c r="B99" s="170"/>
      <c r="C99" s="173"/>
      <c r="D99" s="170"/>
      <c r="E99" s="170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0"/>
      <c r="X99" s="170"/>
      <c r="Y99" s="170"/>
      <c r="Z99" s="170"/>
    </row>
    <row r="100" ht="12.75" customHeight="1">
      <c r="A100" s="170"/>
      <c r="B100" s="170"/>
      <c r="C100" s="173"/>
      <c r="D100" s="170"/>
      <c r="E100" s="170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0"/>
      <c r="X100" s="170"/>
      <c r="Y100" s="170"/>
      <c r="Z100" s="170"/>
    </row>
    <row r="101" ht="12.75" customHeight="1">
      <c r="A101" s="170"/>
      <c r="B101" s="170"/>
      <c r="C101" s="173"/>
      <c r="D101" s="170"/>
      <c r="E101" s="170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0"/>
      <c r="X101" s="170"/>
      <c r="Y101" s="170"/>
      <c r="Z101" s="170"/>
    </row>
    <row r="102" ht="12.75" customHeight="1">
      <c r="A102" s="170"/>
      <c r="B102" s="170"/>
      <c r="C102" s="173"/>
      <c r="D102" s="170"/>
      <c r="E102" s="170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0"/>
      <c r="X102" s="170"/>
      <c r="Y102" s="170"/>
      <c r="Z102" s="170"/>
    </row>
    <row r="103" ht="12.75" customHeight="1">
      <c r="A103" s="170"/>
      <c r="B103" s="170"/>
      <c r="C103" s="173"/>
      <c r="D103" s="170"/>
      <c r="E103" s="170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0"/>
      <c r="X103" s="170"/>
      <c r="Y103" s="170"/>
      <c r="Z103" s="170"/>
    </row>
    <row r="104" ht="12.75" customHeight="1">
      <c r="A104" s="170"/>
      <c r="B104" s="170"/>
      <c r="C104" s="173"/>
      <c r="D104" s="170"/>
      <c r="E104" s="170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0"/>
      <c r="X104" s="170"/>
      <c r="Y104" s="170"/>
      <c r="Z104" s="170"/>
    </row>
    <row r="105" ht="12.75" customHeight="1">
      <c r="A105" s="170"/>
      <c r="B105" s="170"/>
      <c r="C105" s="173"/>
      <c r="D105" s="170"/>
      <c r="E105" s="170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0"/>
      <c r="X105" s="170"/>
      <c r="Y105" s="170"/>
      <c r="Z105" s="170"/>
    </row>
    <row r="106" ht="12.75" customHeight="1">
      <c r="A106" s="170"/>
      <c r="B106" s="170"/>
      <c r="C106" s="173"/>
      <c r="D106" s="170"/>
      <c r="E106" s="170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0"/>
      <c r="X106" s="170"/>
      <c r="Y106" s="170"/>
      <c r="Z106" s="170"/>
    </row>
    <row r="107" ht="12.75" customHeight="1">
      <c r="A107" s="170"/>
      <c r="B107" s="170"/>
      <c r="C107" s="173"/>
      <c r="D107" s="170"/>
      <c r="E107" s="170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0"/>
      <c r="X107" s="170"/>
      <c r="Y107" s="170"/>
      <c r="Z107" s="170"/>
    </row>
    <row r="108" ht="12.75" customHeight="1">
      <c r="A108" s="170"/>
      <c r="B108" s="170"/>
      <c r="C108" s="173"/>
      <c r="D108" s="170"/>
      <c r="E108" s="170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0"/>
      <c r="X108" s="170"/>
      <c r="Y108" s="170"/>
      <c r="Z108" s="170"/>
    </row>
    <row r="109" ht="12.75" customHeight="1">
      <c r="A109" s="170"/>
      <c r="B109" s="170"/>
      <c r="C109" s="173"/>
      <c r="D109" s="170"/>
      <c r="E109" s="170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0"/>
      <c r="X109" s="170"/>
      <c r="Y109" s="170"/>
      <c r="Z109" s="170"/>
    </row>
    <row r="110" ht="12.75" customHeight="1">
      <c r="A110" s="170"/>
      <c r="B110" s="170"/>
      <c r="C110" s="173"/>
      <c r="D110" s="170"/>
      <c r="E110" s="170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0"/>
      <c r="X110" s="170"/>
      <c r="Y110" s="170"/>
      <c r="Z110" s="170"/>
    </row>
    <row r="111" ht="12.75" customHeight="1">
      <c r="A111" s="170"/>
      <c r="B111" s="170"/>
      <c r="C111" s="173"/>
      <c r="D111" s="170"/>
      <c r="E111" s="170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0"/>
      <c r="X111" s="170"/>
      <c r="Y111" s="170"/>
      <c r="Z111" s="170"/>
    </row>
    <row r="112" ht="12.75" customHeight="1">
      <c r="A112" s="170"/>
      <c r="B112" s="170"/>
      <c r="C112" s="173"/>
      <c r="D112" s="170"/>
      <c r="E112" s="170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0"/>
      <c r="X112" s="170"/>
      <c r="Y112" s="170"/>
      <c r="Z112" s="170"/>
    </row>
    <row r="113" ht="12.75" customHeight="1">
      <c r="A113" s="170"/>
      <c r="B113" s="170"/>
      <c r="C113" s="173"/>
      <c r="D113" s="170"/>
      <c r="E113" s="170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0"/>
      <c r="X113" s="170"/>
      <c r="Y113" s="170"/>
      <c r="Z113" s="170"/>
    </row>
    <row r="114" ht="12.75" customHeight="1">
      <c r="A114" s="170"/>
      <c r="B114" s="170"/>
      <c r="C114" s="173"/>
      <c r="D114" s="170"/>
      <c r="E114" s="170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0"/>
      <c r="X114" s="170"/>
      <c r="Y114" s="170"/>
      <c r="Z114" s="170"/>
    </row>
    <row r="115" ht="12.75" customHeight="1">
      <c r="A115" s="170"/>
      <c r="B115" s="170"/>
      <c r="C115" s="173"/>
      <c r="D115" s="170"/>
      <c r="E115" s="170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0"/>
      <c r="X115" s="170"/>
      <c r="Y115" s="170"/>
      <c r="Z115" s="170"/>
    </row>
    <row r="116" ht="12.75" customHeight="1">
      <c r="A116" s="170"/>
      <c r="B116" s="170"/>
      <c r="C116" s="173"/>
      <c r="D116" s="170"/>
      <c r="E116" s="170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0"/>
      <c r="X116" s="170"/>
      <c r="Y116" s="170"/>
      <c r="Z116" s="170"/>
    </row>
    <row r="117" ht="12.75" customHeight="1">
      <c r="A117" s="170"/>
      <c r="B117" s="170"/>
      <c r="C117" s="173"/>
      <c r="D117" s="170"/>
      <c r="E117" s="170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0"/>
      <c r="X117" s="170"/>
      <c r="Y117" s="170"/>
      <c r="Z117" s="170"/>
    </row>
    <row r="118" ht="12.75" customHeight="1">
      <c r="A118" s="170"/>
      <c r="B118" s="170"/>
      <c r="C118" s="173"/>
      <c r="D118" s="170"/>
      <c r="E118" s="170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0"/>
      <c r="X118" s="170"/>
      <c r="Y118" s="170"/>
      <c r="Z118" s="170"/>
    </row>
    <row r="119" ht="12.75" customHeight="1">
      <c r="A119" s="170"/>
      <c r="B119" s="170"/>
      <c r="C119" s="173"/>
      <c r="D119" s="170"/>
      <c r="E119" s="170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0"/>
      <c r="X119" s="170"/>
      <c r="Y119" s="170"/>
      <c r="Z119" s="170"/>
    </row>
    <row r="120" ht="12.75" customHeight="1">
      <c r="A120" s="170"/>
      <c r="B120" s="170"/>
      <c r="C120" s="173"/>
      <c r="D120" s="170"/>
      <c r="E120" s="170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0"/>
      <c r="X120" s="170"/>
      <c r="Y120" s="170"/>
      <c r="Z120" s="170"/>
    </row>
    <row r="121" ht="12.75" customHeight="1">
      <c r="A121" s="170"/>
      <c r="B121" s="170"/>
      <c r="C121" s="173"/>
      <c r="D121" s="170"/>
      <c r="E121" s="170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0"/>
      <c r="X121" s="170"/>
      <c r="Y121" s="170"/>
      <c r="Z121" s="170"/>
    </row>
    <row r="122" ht="12.75" customHeight="1">
      <c r="A122" s="170"/>
      <c r="B122" s="170"/>
      <c r="C122" s="173"/>
      <c r="D122" s="170"/>
      <c r="E122" s="170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0"/>
      <c r="X122" s="170"/>
      <c r="Y122" s="170"/>
      <c r="Z122" s="170"/>
    </row>
    <row r="123" ht="12.75" customHeight="1">
      <c r="A123" s="170"/>
      <c r="B123" s="170"/>
      <c r="C123" s="173"/>
      <c r="D123" s="170"/>
      <c r="E123" s="170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0"/>
      <c r="X123" s="170"/>
      <c r="Y123" s="170"/>
      <c r="Z123" s="170"/>
    </row>
    <row r="124" ht="12.75" customHeight="1">
      <c r="A124" s="170"/>
      <c r="B124" s="170"/>
      <c r="C124" s="173"/>
      <c r="D124" s="170"/>
      <c r="E124" s="170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0"/>
      <c r="X124" s="170"/>
      <c r="Y124" s="170"/>
      <c r="Z124" s="170"/>
    </row>
    <row r="125" ht="12.75" customHeight="1">
      <c r="A125" s="170"/>
      <c r="B125" s="170"/>
      <c r="C125" s="173"/>
      <c r="D125" s="170"/>
      <c r="E125" s="170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0"/>
      <c r="X125" s="170"/>
      <c r="Y125" s="170"/>
      <c r="Z125" s="170"/>
    </row>
    <row r="126" ht="12.75" customHeight="1">
      <c r="A126" s="170"/>
      <c r="B126" s="170"/>
      <c r="C126" s="173"/>
      <c r="D126" s="170"/>
      <c r="E126" s="170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0"/>
      <c r="X126" s="170"/>
      <c r="Y126" s="170"/>
      <c r="Z126" s="170"/>
    </row>
    <row r="127" ht="12.75" customHeight="1">
      <c r="A127" s="170"/>
      <c r="B127" s="170"/>
      <c r="C127" s="173"/>
      <c r="D127" s="170"/>
      <c r="E127" s="170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0"/>
      <c r="X127" s="170"/>
      <c r="Y127" s="170"/>
      <c r="Z127" s="170"/>
    </row>
    <row r="128" ht="12.75" customHeight="1">
      <c r="A128" s="170"/>
      <c r="B128" s="170"/>
      <c r="C128" s="173"/>
      <c r="D128" s="170"/>
      <c r="E128" s="170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0"/>
      <c r="X128" s="170"/>
      <c r="Y128" s="170"/>
      <c r="Z128" s="170"/>
    </row>
    <row r="129" ht="12.75" customHeight="1">
      <c r="A129" s="170"/>
      <c r="B129" s="170"/>
      <c r="C129" s="173"/>
      <c r="D129" s="170"/>
      <c r="E129" s="170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0"/>
      <c r="X129" s="170"/>
      <c r="Y129" s="170"/>
      <c r="Z129" s="170"/>
    </row>
    <row r="130" ht="12.75" customHeight="1">
      <c r="A130" s="170"/>
      <c r="B130" s="170"/>
      <c r="C130" s="173"/>
      <c r="D130" s="170"/>
      <c r="E130" s="170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0"/>
      <c r="X130" s="170"/>
      <c r="Y130" s="170"/>
      <c r="Z130" s="170"/>
    </row>
    <row r="131" ht="12.75" customHeight="1">
      <c r="A131" s="170"/>
      <c r="B131" s="170"/>
      <c r="C131" s="173"/>
      <c r="D131" s="170"/>
      <c r="E131" s="170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0"/>
      <c r="X131" s="170"/>
      <c r="Y131" s="170"/>
      <c r="Z131" s="170"/>
    </row>
    <row r="132" ht="12.75" customHeight="1">
      <c r="A132" s="170"/>
      <c r="B132" s="170"/>
      <c r="C132" s="173"/>
      <c r="D132" s="170"/>
      <c r="E132" s="170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0"/>
      <c r="X132" s="170"/>
      <c r="Y132" s="170"/>
      <c r="Z132" s="170"/>
    </row>
    <row r="133" ht="12.75" customHeight="1">
      <c r="A133" s="170"/>
      <c r="B133" s="170"/>
      <c r="C133" s="173"/>
      <c r="D133" s="170"/>
      <c r="E133" s="170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0"/>
      <c r="X133" s="170"/>
      <c r="Y133" s="170"/>
      <c r="Z133" s="170"/>
    </row>
    <row r="134" ht="12.75" customHeight="1">
      <c r="A134" s="170"/>
      <c r="B134" s="170"/>
      <c r="C134" s="173"/>
      <c r="D134" s="170"/>
      <c r="E134" s="170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0"/>
      <c r="X134" s="170"/>
      <c r="Y134" s="170"/>
      <c r="Z134" s="170"/>
    </row>
    <row r="135" ht="12.75" customHeight="1">
      <c r="A135" s="170"/>
      <c r="B135" s="170"/>
      <c r="C135" s="173"/>
      <c r="D135" s="170"/>
      <c r="E135" s="170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0"/>
      <c r="X135" s="170"/>
      <c r="Y135" s="170"/>
      <c r="Z135" s="170"/>
    </row>
    <row r="136" ht="12.75" customHeight="1">
      <c r="A136" s="170"/>
      <c r="B136" s="170"/>
      <c r="C136" s="173"/>
      <c r="D136" s="170"/>
      <c r="E136" s="170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0"/>
      <c r="X136" s="170"/>
      <c r="Y136" s="170"/>
      <c r="Z136" s="170"/>
    </row>
    <row r="137" ht="12.75" customHeight="1">
      <c r="A137" s="170"/>
      <c r="B137" s="170"/>
      <c r="C137" s="173"/>
      <c r="D137" s="170"/>
      <c r="E137" s="170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0"/>
      <c r="X137" s="170"/>
      <c r="Y137" s="170"/>
      <c r="Z137" s="170"/>
    </row>
    <row r="138" ht="12.75" customHeight="1">
      <c r="A138" s="170"/>
      <c r="B138" s="170"/>
      <c r="C138" s="173"/>
      <c r="D138" s="170"/>
      <c r="E138" s="170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0"/>
      <c r="X138" s="170"/>
      <c r="Y138" s="170"/>
      <c r="Z138" s="170"/>
    </row>
    <row r="139" ht="12.75" customHeight="1">
      <c r="A139" s="170"/>
      <c r="B139" s="170"/>
      <c r="C139" s="173"/>
      <c r="D139" s="170"/>
      <c r="E139" s="170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0"/>
      <c r="X139" s="170"/>
      <c r="Y139" s="170"/>
      <c r="Z139" s="170"/>
    </row>
    <row r="140" ht="12.75" customHeight="1">
      <c r="A140" s="170"/>
      <c r="B140" s="170"/>
      <c r="C140" s="173"/>
      <c r="D140" s="170"/>
      <c r="E140" s="170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0"/>
      <c r="X140" s="170"/>
      <c r="Y140" s="170"/>
      <c r="Z140" s="170"/>
    </row>
    <row r="141" ht="12.75" customHeight="1">
      <c r="A141" s="170"/>
      <c r="B141" s="170"/>
      <c r="C141" s="173"/>
      <c r="D141" s="170"/>
      <c r="E141" s="170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0"/>
      <c r="X141" s="170"/>
      <c r="Y141" s="170"/>
      <c r="Z141" s="170"/>
    </row>
    <row r="142" ht="12.75" customHeight="1">
      <c r="A142" s="170"/>
      <c r="B142" s="170"/>
      <c r="C142" s="173"/>
      <c r="D142" s="170"/>
      <c r="E142" s="170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0"/>
      <c r="X142" s="170"/>
      <c r="Y142" s="170"/>
      <c r="Z142" s="170"/>
    </row>
    <row r="143" ht="12.75" customHeight="1">
      <c r="A143" s="170"/>
      <c r="B143" s="170"/>
      <c r="C143" s="173"/>
      <c r="D143" s="170"/>
      <c r="E143" s="170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0"/>
      <c r="X143" s="170"/>
      <c r="Y143" s="170"/>
      <c r="Z143" s="170"/>
    </row>
    <row r="144" ht="12.75" customHeight="1">
      <c r="A144" s="170"/>
      <c r="B144" s="170"/>
      <c r="C144" s="173"/>
      <c r="D144" s="170"/>
      <c r="E144" s="170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0"/>
      <c r="X144" s="170"/>
      <c r="Y144" s="170"/>
      <c r="Z144" s="170"/>
    </row>
    <row r="145" ht="12.75" customHeight="1">
      <c r="A145" s="170"/>
      <c r="B145" s="170"/>
      <c r="C145" s="173"/>
      <c r="D145" s="170"/>
      <c r="E145" s="170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0"/>
      <c r="X145" s="170"/>
      <c r="Y145" s="170"/>
      <c r="Z145" s="170"/>
    </row>
    <row r="146" ht="12.75" customHeight="1">
      <c r="A146" s="170"/>
      <c r="B146" s="170"/>
      <c r="C146" s="173"/>
      <c r="D146" s="170"/>
      <c r="E146" s="170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0"/>
      <c r="X146" s="170"/>
      <c r="Y146" s="170"/>
      <c r="Z146" s="170"/>
    </row>
    <row r="147" ht="12.75" customHeight="1">
      <c r="A147" s="170"/>
      <c r="B147" s="170"/>
      <c r="C147" s="173"/>
      <c r="D147" s="170"/>
      <c r="E147" s="170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0"/>
      <c r="X147" s="170"/>
      <c r="Y147" s="170"/>
      <c r="Z147" s="170"/>
    </row>
    <row r="148" ht="12.75" customHeight="1">
      <c r="A148" s="170"/>
      <c r="B148" s="170"/>
      <c r="C148" s="173"/>
      <c r="D148" s="170"/>
      <c r="E148" s="170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0"/>
      <c r="X148" s="170"/>
      <c r="Y148" s="170"/>
      <c r="Z148" s="170"/>
    </row>
    <row r="149" ht="12.75" customHeight="1">
      <c r="A149" s="170"/>
      <c r="B149" s="170"/>
      <c r="C149" s="173"/>
      <c r="D149" s="170"/>
      <c r="E149" s="170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0"/>
      <c r="X149" s="170"/>
      <c r="Y149" s="170"/>
      <c r="Z149" s="170"/>
    </row>
    <row r="150" ht="12.75" customHeight="1">
      <c r="A150" s="170"/>
      <c r="B150" s="170"/>
      <c r="C150" s="173"/>
      <c r="D150" s="170"/>
      <c r="E150" s="170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0"/>
      <c r="X150" s="170"/>
      <c r="Y150" s="170"/>
      <c r="Z150" s="170"/>
    </row>
    <row r="151" ht="12.75" customHeight="1">
      <c r="A151" s="170"/>
      <c r="B151" s="170"/>
      <c r="C151" s="173"/>
      <c r="D151" s="170"/>
      <c r="E151" s="170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0"/>
      <c r="X151" s="170"/>
      <c r="Y151" s="170"/>
      <c r="Z151" s="170"/>
    </row>
    <row r="152" ht="12.75" customHeight="1">
      <c r="A152" s="170"/>
      <c r="B152" s="170"/>
      <c r="C152" s="173"/>
      <c r="D152" s="170"/>
      <c r="E152" s="170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0"/>
      <c r="X152" s="170"/>
      <c r="Y152" s="170"/>
      <c r="Z152" s="170"/>
    </row>
    <row r="153" ht="12.75" customHeight="1">
      <c r="A153" s="170"/>
      <c r="B153" s="170"/>
      <c r="C153" s="173"/>
      <c r="D153" s="170"/>
      <c r="E153" s="170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0"/>
      <c r="X153" s="170"/>
      <c r="Y153" s="170"/>
      <c r="Z153" s="170"/>
    </row>
    <row r="154" ht="12.75" customHeight="1">
      <c r="A154" s="170"/>
      <c r="B154" s="170"/>
      <c r="C154" s="173"/>
      <c r="D154" s="170"/>
      <c r="E154" s="170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0"/>
      <c r="X154" s="170"/>
      <c r="Y154" s="170"/>
      <c r="Z154" s="170"/>
    </row>
    <row r="155" ht="12.75" customHeight="1">
      <c r="A155" s="170"/>
      <c r="B155" s="170"/>
      <c r="C155" s="173"/>
      <c r="D155" s="170"/>
      <c r="E155" s="170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0"/>
      <c r="X155" s="170"/>
      <c r="Y155" s="170"/>
      <c r="Z155" s="170"/>
    </row>
    <row r="156" ht="12.75" customHeight="1">
      <c r="A156" s="170"/>
      <c r="B156" s="170"/>
      <c r="C156" s="173"/>
      <c r="D156" s="170"/>
      <c r="E156" s="170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0"/>
      <c r="X156" s="170"/>
      <c r="Y156" s="170"/>
      <c r="Z156" s="170"/>
    </row>
    <row r="157" ht="12.75" customHeight="1">
      <c r="A157" s="170"/>
      <c r="B157" s="170"/>
      <c r="C157" s="173"/>
      <c r="D157" s="170"/>
      <c r="E157" s="170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0"/>
      <c r="X157" s="170"/>
      <c r="Y157" s="170"/>
      <c r="Z157" s="170"/>
    </row>
    <row r="158" ht="12.75" customHeight="1">
      <c r="A158" s="170"/>
      <c r="B158" s="170"/>
      <c r="C158" s="173"/>
      <c r="D158" s="170"/>
      <c r="E158" s="170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0"/>
      <c r="X158" s="170"/>
      <c r="Y158" s="170"/>
      <c r="Z158" s="170"/>
    </row>
    <row r="159" ht="12.75" customHeight="1">
      <c r="A159" s="170"/>
      <c r="B159" s="170"/>
      <c r="C159" s="173"/>
      <c r="D159" s="170"/>
      <c r="E159" s="170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0"/>
      <c r="X159" s="170"/>
      <c r="Y159" s="170"/>
      <c r="Z159" s="170"/>
    </row>
    <row r="160" ht="12.75" customHeight="1">
      <c r="A160" s="170"/>
      <c r="B160" s="170"/>
      <c r="C160" s="173"/>
      <c r="D160" s="170"/>
      <c r="E160" s="170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0"/>
      <c r="X160" s="170"/>
      <c r="Y160" s="170"/>
      <c r="Z160" s="170"/>
    </row>
    <row r="161" ht="12.75" customHeight="1">
      <c r="A161" s="170"/>
      <c r="B161" s="170"/>
      <c r="C161" s="173"/>
      <c r="D161" s="170"/>
      <c r="E161" s="170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0"/>
      <c r="X161" s="170"/>
      <c r="Y161" s="170"/>
      <c r="Z161" s="170"/>
    </row>
    <row r="162" ht="12.75" customHeight="1">
      <c r="A162" s="170"/>
      <c r="B162" s="170"/>
      <c r="C162" s="173"/>
      <c r="D162" s="170"/>
      <c r="E162" s="170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0"/>
      <c r="X162" s="170"/>
      <c r="Y162" s="170"/>
      <c r="Z162" s="170"/>
    </row>
    <row r="163" ht="12.75" customHeight="1">
      <c r="A163" s="170"/>
      <c r="B163" s="170"/>
      <c r="C163" s="173"/>
      <c r="D163" s="170"/>
      <c r="E163" s="170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0"/>
      <c r="X163" s="170"/>
      <c r="Y163" s="170"/>
      <c r="Z163" s="170"/>
    </row>
    <row r="164" ht="12.75" customHeight="1">
      <c r="A164" s="170"/>
      <c r="B164" s="170"/>
      <c r="C164" s="173"/>
      <c r="D164" s="170"/>
      <c r="E164" s="170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0"/>
      <c r="X164" s="170"/>
      <c r="Y164" s="170"/>
      <c r="Z164" s="170"/>
    </row>
    <row r="165" ht="12.75" customHeight="1">
      <c r="A165" s="170"/>
      <c r="B165" s="170"/>
      <c r="C165" s="173"/>
      <c r="D165" s="170"/>
      <c r="E165" s="170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0"/>
      <c r="X165" s="170"/>
      <c r="Y165" s="170"/>
      <c r="Z165" s="170"/>
    </row>
    <row r="166" ht="12.75" customHeight="1">
      <c r="A166" s="170"/>
      <c r="B166" s="170"/>
      <c r="C166" s="173"/>
      <c r="D166" s="170"/>
      <c r="E166" s="170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0"/>
      <c r="X166" s="170"/>
      <c r="Y166" s="170"/>
      <c r="Z166" s="170"/>
    </row>
    <row r="167" ht="12.75" customHeight="1">
      <c r="A167" s="170"/>
      <c r="B167" s="170"/>
      <c r="C167" s="173"/>
      <c r="D167" s="170"/>
      <c r="E167" s="170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0"/>
      <c r="X167" s="170"/>
      <c r="Y167" s="170"/>
      <c r="Z167" s="170"/>
    </row>
    <row r="168" ht="12.75" customHeight="1">
      <c r="A168" s="170"/>
      <c r="B168" s="170"/>
      <c r="C168" s="173"/>
      <c r="D168" s="170"/>
      <c r="E168" s="170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0"/>
      <c r="X168" s="170"/>
      <c r="Y168" s="170"/>
      <c r="Z168" s="170"/>
    </row>
    <row r="169" ht="12.75" customHeight="1">
      <c r="A169" s="170"/>
      <c r="B169" s="170"/>
      <c r="C169" s="173"/>
      <c r="D169" s="170"/>
      <c r="E169" s="170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0"/>
      <c r="X169" s="170"/>
      <c r="Y169" s="170"/>
      <c r="Z169" s="170"/>
    </row>
    <row r="170" ht="12.75" customHeight="1">
      <c r="A170" s="170"/>
      <c r="B170" s="170"/>
      <c r="C170" s="173"/>
      <c r="D170" s="170"/>
      <c r="E170" s="170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0"/>
      <c r="X170" s="170"/>
      <c r="Y170" s="170"/>
      <c r="Z170" s="170"/>
    </row>
    <row r="171" ht="12.75" customHeight="1">
      <c r="A171" s="170"/>
      <c r="B171" s="170"/>
      <c r="C171" s="173"/>
      <c r="D171" s="170"/>
      <c r="E171" s="170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0"/>
      <c r="X171" s="170"/>
      <c r="Y171" s="170"/>
      <c r="Z171" s="170"/>
    </row>
    <row r="172" ht="12.75" customHeight="1">
      <c r="A172" s="170"/>
      <c r="B172" s="170"/>
      <c r="C172" s="173"/>
      <c r="D172" s="170"/>
      <c r="E172" s="170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0"/>
      <c r="X172" s="170"/>
      <c r="Y172" s="170"/>
      <c r="Z172" s="170"/>
    </row>
    <row r="173" ht="12.75" customHeight="1">
      <c r="A173" s="170"/>
      <c r="B173" s="170"/>
      <c r="C173" s="173"/>
      <c r="D173" s="170"/>
      <c r="E173" s="170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0"/>
      <c r="X173" s="170"/>
      <c r="Y173" s="170"/>
      <c r="Z173" s="170"/>
    </row>
    <row r="174" ht="12.75" customHeight="1">
      <c r="A174" s="170"/>
      <c r="B174" s="170"/>
      <c r="C174" s="173"/>
      <c r="D174" s="170"/>
      <c r="E174" s="170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0"/>
      <c r="X174" s="170"/>
      <c r="Y174" s="170"/>
      <c r="Z174" s="170"/>
    </row>
    <row r="175" ht="12.75" customHeight="1">
      <c r="A175" s="170"/>
      <c r="B175" s="170"/>
      <c r="C175" s="173"/>
      <c r="D175" s="170"/>
      <c r="E175" s="170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0"/>
      <c r="X175" s="170"/>
      <c r="Y175" s="170"/>
      <c r="Z175" s="170"/>
    </row>
    <row r="176" ht="12.75" customHeight="1">
      <c r="A176" s="170"/>
      <c r="B176" s="170"/>
      <c r="C176" s="173"/>
      <c r="D176" s="170"/>
      <c r="E176" s="170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0"/>
      <c r="X176" s="170"/>
      <c r="Y176" s="170"/>
      <c r="Z176" s="170"/>
    </row>
    <row r="177" ht="12.75" customHeight="1">
      <c r="A177" s="170"/>
      <c r="B177" s="170"/>
      <c r="C177" s="173"/>
      <c r="D177" s="170"/>
      <c r="E177" s="170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0"/>
      <c r="X177" s="170"/>
      <c r="Y177" s="170"/>
      <c r="Z177" s="170"/>
    </row>
    <row r="178" ht="12.75" customHeight="1">
      <c r="A178" s="170"/>
      <c r="B178" s="170"/>
      <c r="C178" s="173"/>
      <c r="D178" s="170"/>
      <c r="E178" s="170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0"/>
      <c r="X178" s="170"/>
      <c r="Y178" s="170"/>
      <c r="Z178" s="170"/>
    </row>
    <row r="179" ht="12.75" customHeight="1">
      <c r="A179" s="170"/>
      <c r="B179" s="170"/>
      <c r="C179" s="173"/>
      <c r="D179" s="170"/>
      <c r="E179" s="170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0"/>
      <c r="X179" s="170"/>
      <c r="Y179" s="170"/>
      <c r="Z179" s="170"/>
    </row>
    <row r="180" ht="12.75" customHeight="1">
      <c r="A180" s="170"/>
      <c r="B180" s="170"/>
      <c r="C180" s="173"/>
      <c r="D180" s="170"/>
      <c r="E180" s="170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0"/>
      <c r="X180" s="170"/>
      <c r="Y180" s="170"/>
      <c r="Z180" s="170"/>
    </row>
    <row r="181" ht="12.75" customHeight="1">
      <c r="A181" s="170"/>
      <c r="B181" s="170"/>
      <c r="C181" s="173"/>
      <c r="D181" s="170"/>
      <c r="E181" s="170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0"/>
      <c r="X181" s="170"/>
      <c r="Y181" s="170"/>
      <c r="Z181" s="170"/>
    </row>
    <row r="182" ht="12.75" customHeight="1">
      <c r="A182" s="170"/>
      <c r="B182" s="170"/>
      <c r="C182" s="173"/>
      <c r="D182" s="170"/>
      <c r="E182" s="170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0"/>
      <c r="X182" s="170"/>
      <c r="Y182" s="170"/>
      <c r="Z182" s="170"/>
    </row>
    <row r="183" ht="12.75" customHeight="1">
      <c r="A183" s="170"/>
      <c r="B183" s="170"/>
      <c r="C183" s="173"/>
      <c r="D183" s="170"/>
      <c r="E183" s="170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0"/>
      <c r="X183" s="170"/>
      <c r="Y183" s="170"/>
      <c r="Z183" s="170"/>
    </row>
    <row r="184" ht="12.75" customHeight="1">
      <c r="A184" s="170"/>
      <c r="B184" s="170"/>
      <c r="C184" s="173"/>
      <c r="D184" s="170"/>
      <c r="E184" s="170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0"/>
      <c r="X184" s="170"/>
      <c r="Y184" s="170"/>
      <c r="Z184" s="170"/>
    </row>
    <row r="185" ht="12.75" customHeight="1">
      <c r="A185" s="170"/>
      <c r="B185" s="170"/>
      <c r="C185" s="173"/>
      <c r="D185" s="170"/>
      <c r="E185" s="170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0"/>
      <c r="X185" s="170"/>
      <c r="Y185" s="170"/>
      <c r="Z185" s="170"/>
    </row>
    <row r="186" ht="12.75" customHeight="1">
      <c r="A186" s="170"/>
      <c r="B186" s="170"/>
      <c r="C186" s="173"/>
      <c r="D186" s="170"/>
      <c r="E186" s="170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0"/>
      <c r="X186" s="170"/>
      <c r="Y186" s="170"/>
      <c r="Z186" s="170"/>
    </row>
    <row r="187" ht="12.75" customHeight="1">
      <c r="A187" s="170"/>
      <c r="B187" s="170"/>
      <c r="C187" s="173"/>
      <c r="D187" s="170"/>
      <c r="E187" s="170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0"/>
      <c r="X187" s="170"/>
      <c r="Y187" s="170"/>
      <c r="Z187" s="170"/>
    </row>
    <row r="188" ht="12.75" customHeight="1">
      <c r="A188" s="170"/>
      <c r="B188" s="170"/>
      <c r="C188" s="173"/>
      <c r="D188" s="170"/>
      <c r="E188" s="170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0"/>
      <c r="X188" s="170"/>
      <c r="Y188" s="170"/>
      <c r="Z188" s="170"/>
    </row>
    <row r="189" ht="12.75" customHeight="1">
      <c r="A189" s="170"/>
      <c r="B189" s="170"/>
      <c r="C189" s="173"/>
      <c r="D189" s="170"/>
      <c r="E189" s="170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0"/>
      <c r="X189" s="170"/>
      <c r="Y189" s="170"/>
      <c r="Z189" s="170"/>
    </row>
    <row r="190" ht="12.75" customHeight="1">
      <c r="A190" s="170"/>
      <c r="B190" s="170"/>
      <c r="C190" s="173"/>
      <c r="D190" s="170"/>
      <c r="E190" s="170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0"/>
      <c r="X190" s="170"/>
      <c r="Y190" s="170"/>
      <c r="Z190" s="170"/>
    </row>
    <row r="191" ht="12.75" customHeight="1">
      <c r="A191" s="170"/>
      <c r="B191" s="170"/>
      <c r="C191" s="173"/>
      <c r="D191" s="170"/>
      <c r="E191" s="170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0"/>
      <c r="X191" s="170"/>
      <c r="Y191" s="170"/>
      <c r="Z191" s="170"/>
    </row>
    <row r="192" ht="12.75" customHeight="1">
      <c r="A192" s="170"/>
      <c r="B192" s="170"/>
      <c r="C192" s="173"/>
      <c r="D192" s="170"/>
      <c r="E192" s="170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0"/>
      <c r="X192" s="170"/>
      <c r="Y192" s="170"/>
      <c r="Z192" s="170"/>
    </row>
    <row r="193" ht="12.75" customHeight="1">
      <c r="A193" s="170"/>
      <c r="B193" s="170"/>
      <c r="C193" s="173"/>
      <c r="D193" s="170"/>
      <c r="E193" s="170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0"/>
      <c r="X193" s="170"/>
      <c r="Y193" s="170"/>
      <c r="Z193" s="170"/>
    </row>
    <row r="194" ht="12.75" customHeight="1">
      <c r="A194" s="170"/>
      <c r="B194" s="170"/>
      <c r="C194" s="173"/>
      <c r="D194" s="170"/>
      <c r="E194" s="170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0"/>
      <c r="X194" s="170"/>
      <c r="Y194" s="170"/>
      <c r="Z194" s="170"/>
    </row>
    <row r="195" ht="12.75" customHeight="1">
      <c r="A195" s="170"/>
      <c r="B195" s="170"/>
      <c r="C195" s="173"/>
      <c r="D195" s="170"/>
      <c r="E195" s="170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0"/>
      <c r="X195" s="170"/>
      <c r="Y195" s="170"/>
      <c r="Z195" s="170"/>
    </row>
    <row r="196" ht="12.75" customHeight="1">
      <c r="A196" s="170"/>
      <c r="B196" s="170"/>
      <c r="C196" s="173"/>
      <c r="D196" s="170"/>
      <c r="E196" s="170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0"/>
      <c r="X196" s="170"/>
      <c r="Y196" s="170"/>
      <c r="Z196" s="170"/>
    </row>
    <row r="197" ht="12.75" customHeight="1">
      <c r="A197" s="170"/>
      <c r="B197" s="170"/>
      <c r="C197" s="173"/>
      <c r="D197" s="170"/>
      <c r="E197" s="170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0"/>
      <c r="X197" s="170"/>
      <c r="Y197" s="170"/>
      <c r="Z197" s="170"/>
    </row>
    <row r="198" ht="12.75" customHeight="1">
      <c r="A198" s="170"/>
      <c r="B198" s="170"/>
      <c r="C198" s="173"/>
      <c r="D198" s="170"/>
      <c r="E198" s="170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0"/>
      <c r="X198" s="170"/>
      <c r="Y198" s="170"/>
      <c r="Z198" s="170"/>
    </row>
    <row r="199" ht="12.75" customHeight="1">
      <c r="A199" s="170"/>
      <c r="B199" s="170"/>
      <c r="C199" s="173"/>
      <c r="D199" s="170"/>
      <c r="E199" s="170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0"/>
      <c r="X199" s="170"/>
      <c r="Y199" s="170"/>
      <c r="Z199" s="170"/>
    </row>
    <row r="200" ht="12.75" customHeight="1">
      <c r="A200" s="170"/>
      <c r="B200" s="170"/>
      <c r="C200" s="173"/>
      <c r="D200" s="170"/>
      <c r="E200" s="170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0"/>
      <c r="X200" s="170"/>
      <c r="Y200" s="170"/>
      <c r="Z200" s="170"/>
    </row>
    <row r="201" ht="12.75" customHeight="1">
      <c r="A201" s="170"/>
      <c r="B201" s="170"/>
      <c r="C201" s="173"/>
      <c r="D201" s="170"/>
      <c r="E201" s="170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0"/>
      <c r="X201" s="170"/>
      <c r="Y201" s="170"/>
      <c r="Z201" s="170"/>
    </row>
    <row r="202" ht="12.75" customHeight="1">
      <c r="A202" s="170"/>
      <c r="B202" s="170"/>
      <c r="C202" s="173"/>
      <c r="D202" s="170"/>
      <c r="E202" s="170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0"/>
      <c r="X202" s="170"/>
      <c r="Y202" s="170"/>
      <c r="Z202" s="170"/>
    </row>
    <row r="203" ht="12.75" customHeight="1">
      <c r="A203" s="170"/>
      <c r="B203" s="170"/>
      <c r="C203" s="173"/>
      <c r="D203" s="170"/>
      <c r="E203" s="170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0"/>
      <c r="X203" s="170"/>
      <c r="Y203" s="170"/>
      <c r="Z203" s="170"/>
    </row>
    <row r="204" ht="12.75" customHeight="1">
      <c r="A204" s="170"/>
      <c r="B204" s="170"/>
      <c r="C204" s="173"/>
      <c r="D204" s="170"/>
      <c r="E204" s="170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0"/>
      <c r="X204" s="170"/>
      <c r="Y204" s="170"/>
      <c r="Z204" s="170"/>
    </row>
    <row r="205" ht="12.75" customHeight="1">
      <c r="A205" s="170"/>
      <c r="B205" s="170"/>
      <c r="C205" s="173"/>
      <c r="D205" s="170"/>
      <c r="E205" s="170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0"/>
      <c r="X205" s="170"/>
      <c r="Y205" s="170"/>
      <c r="Z205" s="170"/>
    </row>
    <row r="206" ht="12.75" customHeight="1">
      <c r="A206" s="170"/>
      <c r="B206" s="170"/>
      <c r="C206" s="173"/>
      <c r="D206" s="170"/>
      <c r="E206" s="170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0"/>
      <c r="X206" s="170"/>
      <c r="Y206" s="170"/>
      <c r="Z206" s="170"/>
    </row>
    <row r="207" ht="12.75" customHeight="1">
      <c r="A207" s="170"/>
      <c r="B207" s="170"/>
      <c r="C207" s="173"/>
      <c r="D207" s="170"/>
      <c r="E207" s="170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0"/>
      <c r="X207" s="170"/>
      <c r="Y207" s="170"/>
      <c r="Z207" s="170"/>
    </row>
    <row r="208" ht="12.75" customHeight="1">
      <c r="A208" s="170"/>
      <c r="B208" s="170"/>
      <c r="C208" s="173"/>
      <c r="D208" s="170"/>
      <c r="E208" s="170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0"/>
      <c r="X208" s="170"/>
      <c r="Y208" s="170"/>
      <c r="Z208" s="170"/>
    </row>
    <row r="209" ht="12.75" customHeight="1">
      <c r="A209" s="170"/>
      <c r="B209" s="170"/>
      <c r="C209" s="173"/>
      <c r="D209" s="170"/>
      <c r="E209" s="170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0"/>
      <c r="X209" s="170"/>
      <c r="Y209" s="170"/>
      <c r="Z209" s="170"/>
    </row>
    <row r="210" ht="12.75" customHeight="1">
      <c r="A210" s="170"/>
      <c r="B210" s="170"/>
      <c r="C210" s="173"/>
      <c r="D210" s="170"/>
      <c r="E210" s="170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0"/>
      <c r="X210" s="170"/>
      <c r="Y210" s="170"/>
      <c r="Z210" s="170"/>
    </row>
    <row r="211" ht="12.75" customHeight="1">
      <c r="A211" s="170"/>
      <c r="B211" s="170"/>
      <c r="C211" s="173"/>
      <c r="D211" s="170"/>
      <c r="E211" s="170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0"/>
      <c r="X211" s="170"/>
      <c r="Y211" s="170"/>
      <c r="Z211" s="170"/>
    </row>
    <row r="212" ht="12.75" customHeight="1">
      <c r="A212" s="170"/>
      <c r="B212" s="170"/>
      <c r="C212" s="173"/>
      <c r="D212" s="170"/>
      <c r="E212" s="170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0"/>
      <c r="X212" s="170"/>
      <c r="Y212" s="170"/>
      <c r="Z212" s="170"/>
    </row>
    <row r="213" ht="12.75" customHeight="1">
      <c r="A213" s="170"/>
      <c r="B213" s="170"/>
      <c r="C213" s="173"/>
      <c r="D213" s="170"/>
      <c r="E213" s="170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0"/>
      <c r="X213" s="170"/>
      <c r="Y213" s="170"/>
      <c r="Z213" s="170"/>
    </row>
    <row r="214" ht="12.75" customHeight="1">
      <c r="A214" s="170"/>
      <c r="B214" s="170"/>
      <c r="C214" s="173"/>
      <c r="D214" s="170"/>
      <c r="E214" s="170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0"/>
      <c r="X214" s="170"/>
      <c r="Y214" s="170"/>
      <c r="Z214" s="170"/>
    </row>
    <row r="215" ht="12.75" customHeight="1">
      <c r="A215" s="170"/>
      <c r="B215" s="170"/>
      <c r="C215" s="173"/>
      <c r="D215" s="170"/>
      <c r="E215" s="170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0"/>
      <c r="X215" s="170"/>
      <c r="Y215" s="170"/>
      <c r="Z215" s="170"/>
    </row>
    <row r="216" ht="12.75" customHeight="1">
      <c r="A216" s="170"/>
      <c r="B216" s="170"/>
      <c r="C216" s="173"/>
      <c r="D216" s="170"/>
      <c r="E216" s="170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0"/>
      <c r="X216" s="170"/>
      <c r="Y216" s="170"/>
      <c r="Z216" s="170"/>
    </row>
    <row r="217" ht="12.75" customHeight="1">
      <c r="A217" s="170"/>
      <c r="B217" s="170"/>
      <c r="C217" s="173"/>
      <c r="D217" s="170"/>
      <c r="E217" s="170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0"/>
      <c r="X217" s="170"/>
      <c r="Y217" s="170"/>
      <c r="Z217" s="170"/>
    </row>
    <row r="218" ht="12.75" customHeight="1">
      <c r="A218" s="170"/>
      <c r="B218" s="170"/>
      <c r="C218" s="173"/>
      <c r="D218" s="170"/>
      <c r="E218" s="170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0"/>
      <c r="X218" s="170"/>
      <c r="Y218" s="170"/>
      <c r="Z218" s="170"/>
    </row>
    <row r="219" ht="12.75" customHeight="1">
      <c r="A219" s="170"/>
      <c r="B219" s="170"/>
      <c r="C219" s="173"/>
      <c r="D219" s="170"/>
      <c r="E219" s="170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0"/>
      <c r="X219" s="170"/>
      <c r="Y219" s="170"/>
      <c r="Z219" s="170"/>
    </row>
    <row r="220" ht="12.75" customHeight="1">
      <c r="A220" s="170"/>
      <c r="B220" s="170"/>
      <c r="C220" s="173"/>
      <c r="D220" s="170"/>
      <c r="E220" s="170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0"/>
      <c r="X220" s="170"/>
      <c r="Y220" s="170"/>
      <c r="Z220" s="170"/>
    </row>
    <row r="221" ht="12.75" customHeight="1">
      <c r="A221" s="170"/>
      <c r="B221" s="170"/>
      <c r="C221" s="173"/>
      <c r="D221" s="170"/>
      <c r="E221" s="170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0"/>
      <c r="X221" s="170"/>
      <c r="Y221" s="170"/>
      <c r="Z221" s="170"/>
    </row>
    <row r="222" ht="12.75" customHeight="1">
      <c r="A222" s="170"/>
      <c r="B222" s="170"/>
      <c r="C222" s="173"/>
      <c r="D222" s="170"/>
      <c r="E222" s="170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0"/>
      <c r="X222" s="170"/>
      <c r="Y222" s="170"/>
      <c r="Z222" s="170"/>
    </row>
    <row r="223" ht="12.75" customHeight="1">
      <c r="A223" s="170"/>
      <c r="B223" s="170"/>
      <c r="C223" s="173"/>
      <c r="D223" s="170"/>
      <c r="E223" s="170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0"/>
      <c r="X223" s="170"/>
      <c r="Y223" s="170"/>
      <c r="Z223" s="170"/>
    </row>
    <row r="224" ht="12.75" customHeight="1">
      <c r="A224" s="170"/>
      <c r="B224" s="170"/>
      <c r="C224" s="173"/>
      <c r="D224" s="170"/>
      <c r="E224" s="170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0"/>
      <c r="X224" s="170"/>
      <c r="Y224" s="170"/>
      <c r="Z224" s="170"/>
    </row>
    <row r="225" ht="12.75" customHeight="1">
      <c r="A225" s="170"/>
      <c r="B225" s="170"/>
      <c r="C225" s="173"/>
      <c r="D225" s="170"/>
      <c r="E225" s="170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0"/>
      <c r="X225" s="170"/>
      <c r="Y225" s="170"/>
      <c r="Z225" s="170"/>
    </row>
    <row r="226" ht="12.75" customHeight="1">
      <c r="A226" s="170"/>
      <c r="B226" s="170"/>
      <c r="C226" s="173"/>
      <c r="D226" s="170"/>
      <c r="E226" s="170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0"/>
      <c r="X226" s="170"/>
      <c r="Y226" s="170"/>
      <c r="Z226" s="17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2">
    <mergeCell ref="D15:E15"/>
    <mergeCell ref="D16:E16"/>
  </mergeCells>
  <dataValidations>
    <dataValidation type="list" allowBlank="1" sqref="E18:E26">
      <formula1>"Planeado,En Marcha,Listo"</formula1>
    </dataValidation>
    <dataValidation type="list" allowBlank="1" sqref="E3:E13">
      <formula1>"Planned,Ongoing,Done"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0"/>
    <col customWidth="1" min="2" max="2" width="44.44"/>
    <col customWidth="1" min="3" max="3" width="8.11"/>
    <col customWidth="1" min="4" max="4" width="10.44"/>
    <col customWidth="1" min="5" max="5" width="9.44"/>
    <col customWidth="1" min="6" max="6" width="7.22"/>
    <col customWidth="1" min="7" max="22" width="3.89"/>
    <col customWidth="1" min="23" max="23" width="10.44"/>
    <col customWidth="1" min="24" max="26" width="8.0"/>
  </cols>
  <sheetData>
    <row r="1" ht="12.75" customHeight="1">
      <c r="A1" s="170"/>
      <c r="B1" s="171">
        <v>6.0</v>
      </c>
      <c r="C1" s="172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2.75" customHeight="1">
      <c r="A2" s="170"/>
      <c r="B2" s="170"/>
      <c r="C2" s="173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2.75" customHeight="1">
      <c r="A3" s="170"/>
      <c r="B3" s="170"/>
      <c r="C3" s="173"/>
      <c r="D3" s="170"/>
      <c r="E3" s="170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0"/>
      <c r="X3" s="170"/>
      <c r="Y3" s="170"/>
      <c r="Z3" s="170"/>
    </row>
    <row r="4" ht="12.75" customHeight="1">
      <c r="A4" s="170"/>
      <c r="B4" s="170"/>
      <c r="C4" s="173"/>
      <c r="D4" s="170"/>
      <c r="E4" s="170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0"/>
      <c r="X4" s="170"/>
      <c r="Y4" s="170"/>
      <c r="Z4" s="170"/>
    </row>
    <row r="5" ht="12.75" customHeight="1">
      <c r="A5" s="170"/>
      <c r="B5" s="170"/>
      <c r="C5" s="173"/>
      <c r="D5" s="170"/>
      <c r="E5" s="170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0"/>
      <c r="X5" s="170"/>
      <c r="Y5" s="170"/>
      <c r="Z5" s="170"/>
    </row>
    <row r="6" ht="12.75" customHeight="1">
      <c r="A6" s="170"/>
      <c r="B6" s="170"/>
      <c r="C6" s="173"/>
      <c r="D6" s="170"/>
      <c r="E6" s="170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0"/>
      <c r="X6" s="170"/>
      <c r="Y6" s="170"/>
      <c r="Z6" s="170"/>
    </row>
    <row r="7" ht="12.75" customHeight="1">
      <c r="A7" s="170"/>
      <c r="B7" s="170"/>
      <c r="C7" s="173"/>
      <c r="D7" s="170"/>
      <c r="E7" s="170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0"/>
      <c r="X7" s="170"/>
      <c r="Y7" s="170"/>
      <c r="Z7" s="170"/>
    </row>
    <row r="8" ht="12.75" customHeight="1">
      <c r="A8" s="170"/>
      <c r="B8" s="170"/>
      <c r="C8" s="173"/>
      <c r="D8" s="170"/>
      <c r="E8" s="170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0"/>
      <c r="X8" s="170"/>
      <c r="Y8" s="170"/>
      <c r="Z8" s="170"/>
    </row>
    <row r="9" ht="12.75" customHeight="1">
      <c r="A9" s="170"/>
      <c r="B9" s="170"/>
      <c r="C9" s="173"/>
      <c r="D9" s="170"/>
      <c r="E9" s="170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0"/>
      <c r="X9" s="170"/>
      <c r="Y9" s="170"/>
      <c r="Z9" s="170"/>
    </row>
    <row r="10" ht="12.75" customHeight="1">
      <c r="A10" s="170"/>
      <c r="B10" s="170"/>
      <c r="C10" s="173"/>
      <c r="D10" s="170"/>
      <c r="E10" s="170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0"/>
      <c r="X10" s="170"/>
      <c r="Y10" s="170"/>
      <c r="Z10" s="170"/>
    </row>
    <row r="11" ht="12.75" customHeight="1">
      <c r="A11" s="170"/>
      <c r="B11" s="170"/>
      <c r="C11" s="173"/>
      <c r="D11" s="170"/>
      <c r="E11" s="170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0"/>
      <c r="X11" s="170"/>
      <c r="Y11" s="170"/>
      <c r="Z11" s="170"/>
    </row>
    <row r="12" ht="12.75" customHeight="1">
      <c r="A12" s="170"/>
      <c r="B12" s="170"/>
      <c r="C12" s="173"/>
      <c r="D12" s="170"/>
      <c r="E12" s="170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0"/>
      <c r="X12" s="170"/>
      <c r="Y12" s="170"/>
      <c r="Z12" s="170"/>
    </row>
    <row r="13" ht="12.75" customHeight="1">
      <c r="A13" s="170"/>
      <c r="B13" s="170"/>
      <c r="C13" s="173"/>
      <c r="D13" s="170"/>
      <c r="E13" s="170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0"/>
      <c r="X13" s="170"/>
      <c r="Y13" s="170"/>
      <c r="Z13" s="170"/>
    </row>
    <row r="14" ht="12.75" customHeight="1">
      <c r="A14" s="170"/>
      <c r="B14" s="174" t="s">
        <v>298</v>
      </c>
      <c r="C14" s="175">
        <v>10.0</v>
      </c>
      <c r="D14" s="174" t="s">
        <v>299</v>
      </c>
      <c r="E14" s="174" t="s">
        <v>300</v>
      </c>
      <c r="F14" s="176" t="s">
        <v>170</v>
      </c>
      <c r="G14" s="174" t="s">
        <v>301</v>
      </c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0"/>
      <c r="X14" s="170"/>
      <c r="Y14" s="170"/>
      <c r="Z14" s="170"/>
    </row>
    <row r="15" ht="15.75" customHeight="1">
      <c r="A15" s="178"/>
      <c r="B15" s="178"/>
      <c r="C15" s="178"/>
      <c r="D15" s="179" t="s">
        <v>302</v>
      </c>
      <c r="F15" s="179">
        <f>SUM(F18:F28)</f>
        <v>80</v>
      </c>
      <c r="G15" s="179">
        <f>'Sp6'!TaskRows-SUM(G18:G28)</f>
        <v>72</v>
      </c>
      <c r="H15" s="179">
        <f t="shared" ref="H15:U15" si="1">G15-SUM(H18:H28)</f>
        <v>59</v>
      </c>
      <c r="I15" s="179">
        <f t="shared" si="1"/>
        <v>51</v>
      </c>
      <c r="J15" s="179">
        <f t="shared" si="1"/>
        <v>43</v>
      </c>
      <c r="K15" s="179">
        <f t="shared" si="1"/>
        <v>36</v>
      </c>
      <c r="L15" s="179">
        <f t="shared" si="1"/>
        <v>30</v>
      </c>
      <c r="M15" s="179">
        <f t="shared" si="1"/>
        <v>22</v>
      </c>
      <c r="N15" s="179">
        <f t="shared" si="1"/>
        <v>17</v>
      </c>
      <c r="O15" s="179">
        <f t="shared" si="1"/>
        <v>6</v>
      </c>
      <c r="P15" s="179">
        <f t="shared" si="1"/>
        <v>0</v>
      </c>
      <c r="Q15" s="179">
        <f t="shared" si="1"/>
        <v>0</v>
      </c>
      <c r="R15" s="179">
        <f t="shared" si="1"/>
        <v>0</v>
      </c>
      <c r="S15" s="179">
        <f t="shared" si="1"/>
        <v>0</v>
      </c>
      <c r="T15" s="179">
        <f t="shared" si="1"/>
        <v>0</v>
      </c>
      <c r="U15" s="179">
        <f t="shared" si="1"/>
        <v>0</v>
      </c>
      <c r="V15" s="179">
        <v>0.0</v>
      </c>
      <c r="W15" s="178"/>
      <c r="X15" s="178"/>
      <c r="Y15" s="178"/>
      <c r="Z15" s="178"/>
    </row>
    <row r="16" ht="15.75" customHeight="1">
      <c r="A16" s="178"/>
      <c r="B16" s="178"/>
      <c r="C16" s="178"/>
      <c r="D16" s="180" t="s">
        <v>303</v>
      </c>
      <c r="F16" s="218">
        <f>SUM(F18:F28)</f>
        <v>80</v>
      </c>
      <c r="G16" s="219">
        <f>F16-(SUM($F$18:$F$28)/'Sp6'!ImplementationDays)</f>
        <v>72</v>
      </c>
      <c r="H16" s="219">
        <f>G16-(SUM($F$18:$F$28)/'Sp6'!ImplementationDays)</f>
        <v>64</v>
      </c>
      <c r="I16" s="219">
        <f>H16-(SUM($F$18:$F$28)/'Sp6'!ImplementationDays)</f>
        <v>56</v>
      </c>
      <c r="J16" s="219">
        <f>I16-(SUM($F$18:$F$28)/'Sp6'!ImplementationDays)</f>
        <v>48</v>
      </c>
      <c r="K16" s="219">
        <f>J16-(SUM($F$18:$F$28)/'Sp6'!ImplementationDays)</f>
        <v>40</v>
      </c>
      <c r="L16" s="219">
        <f>K16-(SUM($F$18:$F$28)/'Sp6'!ImplementationDays)</f>
        <v>32</v>
      </c>
      <c r="M16" s="219">
        <f>L16-(SUM($F$18:$F$28)/'Sp6'!ImplementationDays)</f>
        <v>24</v>
      </c>
      <c r="N16" s="219">
        <f>M16-(SUM($F$18:$F$28)/'Sp6'!ImplementationDays)</f>
        <v>16</v>
      </c>
      <c r="O16" s="219">
        <f>N16-(SUM($F$18:$F$28)/'Sp6'!ImplementationDays)</f>
        <v>8</v>
      </c>
      <c r="P16" s="219">
        <f>O16-(SUM($F$18:$F$28)/'Sp6'!ImplementationDays)</f>
        <v>0</v>
      </c>
      <c r="Q16" s="219">
        <f>P16-(SUM($F$18:$F$28)/'Sp6'!ImplementationDays)</f>
        <v>-8</v>
      </c>
      <c r="R16" s="219">
        <f>Q16-(SUM($F$18:$F$28)/'Sp6'!ImplementationDays)</f>
        <v>-16</v>
      </c>
      <c r="S16" s="219">
        <f>R16-(SUM($F$18:$F$28)/'Sp6'!ImplementationDays)</f>
        <v>-24</v>
      </c>
      <c r="T16" s="219">
        <f>S16-(SUM($F$18:$F$28)/'Sp6'!ImplementationDays)</f>
        <v>-32</v>
      </c>
      <c r="U16" s="219">
        <f>T16-(SUM($F$18:$F$28)/'Sp6'!ImplementationDays)</f>
        <v>-40</v>
      </c>
      <c r="V16" s="219">
        <f>U16-(SUM($F$18:$F$28)/'Sp6'!ImplementationDays)</f>
        <v>-48</v>
      </c>
      <c r="W16" s="178"/>
      <c r="X16" s="178"/>
      <c r="Y16" s="178"/>
      <c r="Z16" s="178"/>
    </row>
    <row r="17" ht="12.75" customHeight="1">
      <c r="A17" s="170"/>
      <c r="B17" s="194" t="s">
        <v>321</v>
      </c>
      <c r="C17" s="184" t="s">
        <v>305</v>
      </c>
      <c r="D17" s="183" t="s">
        <v>306</v>
      </c>
      <c r="E17" s="183" t="s">
        <v>307</v>
      </c>
      <c r="F17" s="184" t="s">
        <v>308</v>
      </c>
      <c r="G17" s="184">
        <v>1.0</v>
      </c>
      <c r="H17" s="184">
        <f t="shared" ref="H17:V17" si="2">IF($C$14&gt;G17,G17+1,"")</f>
        <v>2</v>
      </c>
      <c r="I17" s="184">
        <f t="shared" si="2"/>
        <v>3</v>
      </c>
      <c r="J17" s="184">
        <f t="shared" si="2"/>
        <v>4</v>
      </c>
      <c r="K17" s="184">
        <f t="shared" si="2"/>
        <v>5</v>
      </c>
      <c r="L17" s="184">
        <f t="shared" si="2"/>
        <v>6</v>
      </c>
      <c r="M17" s="184">
        <f t="shared" si="2"/>
        <v>7</v>
      </c>
      <c r="N17" s="184">
        <f t="shared" si="2"/>
        <v>8</v>
      </c>
      <c r="O17" s="184">
        <f t="shared" si="2"/>
        <v>9</v>
      </c>
      <c r="P17" s="184">
        <f t="shared" si="2"/>
        <v>10</v>
      </c>
      <c r="Q17" s="184" t="str">
        <f t="shared" si="2"/>
        <v/>
      </c>
      <c r="R17" s="184" t="str">
        <f t="shared" si="2"/>
        <v/>
      </c>
      <c r="S17" s="184" t="str">
        <f t="shared" si="2"/>
        <v/>
      </c>
      <c r="T17" s="184" t="str">
        <f t="shared" si="2"/>
        <v/>
      </c>
      <c r="U17" s="184" t="str">
        <f t="shared" si="2"/>
        <v/>
      </c>
      <c r="V17" s="184" t="str">
        <f t="shared" si="2"/>
        <v/>
      </c>
      <c r="W17" s="185" t="s">
        <v>309</v>
      </c>
      <c r="X17" s="170"/>
      <c r="Y17" s="170"/>
      <c r="Z17" s="170"/>
    </row>
    <row r="18" ht="23.25" customHeight="1">
      <c r="A18" s="170"/>
      <c r="B18" s="186" t="s">
        <v>248</v>
      </c>
      <c r="C18" s="188" t="s">
        <v>246</v>
      </c>
      <c r="D18" s="188" t="s">
        <v>157</v>
      </c>
      <c r="E18" s="188" t="s">
        <v>316</v>
      </c>
      <c r="F18" s="188">
        <v>5.0</v>
      </c>
      <c r="G18" s="188">
        <v>5.0</v>
      </c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>
        <f t="shared" ref="W18:W28" si="3">SUM(G18:V18)</f>
        <v>5</v>
      </c>
      <c r="X18" s="170"/>
      <c r="Y18" s="170"/>
      <c r="Z18" s="170"/>
    </row>
    <row r="19" ht="22.5" customHeight="1">
      <c r="A19" s="170"/>
      <c r="B19" s="186" t="s">
        <v>249</v>
      </c>
      <c r="C19" s="188" t="s">
        <v>246</v>
      </c>
      <c r="D19" s="188" t="s">
        <v>157</v>
      </c>
      <c r="E19" s="188" t="s">
        <v>316</v>
      </c>
      <c r="F19" s="188">
        <v>8.0</v>
      </c>
      <c r="G19" s="188"/>
      <c r="H19" s="188">
        <v>8.0</v>
      </c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>
        <f t="shared" si="3"/>
        <v>8</v>
      </c>
      <c r="X19" s="170"/>
      <c r="Y19" s="170"/>
      <c r="Z19" s="170"/>
    </row>
    <row r="20" ht="24.0" customHeight="1">
      <c r="A20" s="170"/>
      <c r="B20" s="186" t="s">
        <v>250</v>
      </c>
      <c r="C20" s="188" t="s">
        <v>102</v>
      </c>
      <c r="D20" s="188" t="s">
        <v>159</v>
      </c>
      <c r="E20" s="188" t="s">
        <v>316</v>
      </c>
      <c r="F20" s="188">
        <v>3.0</v>
      </c>
      <c r="G20" s="188">
        <v>3.0</v>
      </c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>
        <f t="shared" si="3"/>
        <v>3</v>
      </c>
      <c r="X20" s="170"/>
      <c r="Y20" s="170"/>
      <c r="Z20" s="170"/>
    </row>
    <row r="21" ht="25.5" customHeight="1">
      <c r="A21" s="170"/>
      <c r="B21" s="186" t="s">
        <v>251</v>
      </c>
      <c r="C21" s="188" t="s">
        <v>102</v>
      </c>
      <c r="D21" s="188" t="s">
        <v>159</v>
      </c>
      <c r="E21" s="188" t="s">
        <v>316</v>
      </c>
      <c r="F21" s="188">
        <v>5.0</v>
      </c>
      <c r="G21" s="188"/>
      <c r="H21" s="188">
        <v>5.0</v>
      </c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>
        <f t="shared" si="3"/>
        <v>5</v>
      </c>
      <c r="X21" s="170"/>
      <c r="Y21" s="170"/>
      <c r="Z21" s="170"/>
    </row>
    <row r="22" ht="27.0" customHeight="1">
      <c r="A22" s="170"/>
      <c r="B22" s="186" t="s">
        <v>252</v>
      </c>
      <c r="C22" s="188" t="s">
        <v>141</v>
      </c>
      <c r="D22" s="188" t="s">
        <v>156</v>
      </c>
      <c r="E22" s="188" t="s">
        <v>316</v>
      </c>
      <c r="F22" s="188">
        <v>8.0</v>
      </c>
      <c r="G22" s="188"/>
      <c r="H22" s="188"/>
      <c r="I22" s="188">
        <v>8.0</v>
      </c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>
        <f t="shared" si="3"/>
        <v>8</v>
      </c>
      <c r="X22" s="170"/>
      <c r="Y22" s="170"/>
      <c r="Z22" s="170"/>
    </row>
    <row r="23" ht="27.75" customHeight="1">
      <c r="A23" s="170"/>
      <c r="B23" s="186" t="s">
        <v>253</v>
      </c>
      <c r="C23" s="188" t="s">
        <v>141</v>
      </c>
      <c r="D23" s="188" t="s">
        <v>156</v>
      </c>
      <c r="E23" s="188" t="s">
        <v>316</v>
      </c>
      <c r="F23" s="188">
        <v>8.0</v>
      </c>
      <c r="G23" s="188"/>
      <c r="H23" s="188"/>
      <c r="I23" s="188"/>
      <c r="J23" s="188">
        <v>8.0</v>
      </c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>
        <f t="shared" si="3"/>
        <v>8</v>
      </c>
      <c r="X23" s="170"/>
      <c r="Y23" s="170"/>
      <c r="Z23" s="170"/>
    </row>
    <row r="24" ht="24.75" customHeight="1">
      <c r="A24" s="170"/>
      <c r="B24" s="186" t="s">
        <v>254</v>
      </c>
      <c r="C24" s="188" t="s">
        <v>141</v>
      </c>
      <c r="D24" s="188" t="s">
        <v>156</v>
      </c>
      <c r="E24" s="188" t="s">
        <v>316</v>
      </c>
      <c r="F24" s="188">
        <v>13.0</v>
      </c>
      <c r="G24" s="188"/>
      <c r="H24" s="188"/>
      <c r="I24" s="188"/>
      <c r="J24" s="188"/>
      <c r="K24" s="188">
        <v>7.0</v>
      </c>
      <c r="L24" s="188">
        <v>6.0</v>
      </c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>
        <f t="shared" si="3"/>
        <v>13</v>
      </c>
      <c r="X24" s="170"/>
      <c r="Y24" s="170"/>
      <c r="Z24" s="170"/>
    </row>
    <row r="25" ht="30.0" customHeight="1">
      <c r="A25" s="170"/>
      <c r="B25" s="186" t="s">
        <v>255</v>
      </c>
      <c r="C25" s="188" t="s">
        <v>135</v>
      </c>
      <c r="D25" s="188" t="s">
        <v>158</v>
      </c>
      <c r="E25" s="188" t="s">
        <v>316</v>
      </c>
      <c r="F25" s="188">
        <v>8.0</v>
      </c>
      <c r="G25" s="188"/>
      <c r="H25" s="188"/>
      <c r="I25" s="188"/>
      <c r="J25" s="188"/>
      <c r="K25" s="188"/>
      <c r="L25" s="188"/>
      <c r="M25" s="188">
        <v>8.0</v>
      </c>
      <c r="N25" s="188"/>
      <c r="O25" s="188"/>
      <c r="P25" s="188"/>
      <c r="Q25" s="188"/>
      <c r="R25" s="188"/>
      <c r="S25" s="188"/>
      <c r="T25" s="188"/>
      <c r="U25" s="188"/>
      <c r="V25" s="188"/>
      <c r="W25" s="188">
        <f t="shared" si="3"/>
        <v>8</v>
      </c>
      <c r="X25" s="170"/>
      <c r="Y25" s="170"/>
      <c r="Z25" s="170"/>
    </row>
    <row r="26" ht="31.5" customHeight="1">
      <c r="A26" s="170"/>
      <c r="B26" s="186" t="s">
        <v>256</v>
      </c>
      <c r="C26" s="188" t="s">
        <v>135</v>
      </c>
      <c r="D26" s="188" t="s">
        <v>158</v>
      </c>
      <c r="E26" s="188" t="s">
        <v>316</v>
      </c>
      <c r="F26" s="188">
        <v>5.0</v>
      </c>
      <c r="G26" s="188"/>
      <c r="H26" s="188"/>
      <c r="I26" s="188"/>
      <c r="J26" s="188"/>
      <c r="K26" s="188"/>
      <c r="L26" s="188"/>
      <c r="M26" s="188"/>
      <c r="N26" s="188">
        <v>5.0</v>
      </c>
      <c r="O26" s="188"/>
      <c r="P26" s="188"/>
      <c r="Q26" s="188"/>
      <c r="R26" s="188"/>
      <c r="S26" s="188"/>
      <c r="T26" s="188"/>
      <c r="U26" s="188"/>
      <c r="V26" s="188"/>
      <c r="W26" s="188">
        <f t="shared" si="3"/>
        <v>5</v>
      </c>
      <c r="X26" s="170"/>
      <c r="Y26" s="170"/>
      <c r="Z26" s="170"/>
    </row>
    <row r="27" ht="33.0" customHeight="1">
      <c r="A27" s="170"/>
      <c r="B27" s="186" t="s">
        <v>259</v>
      </c>
      <c r="C27" s="188" t="s">
        <v>322</v>
      </c>
      <c r="D27" s="188" t="s">
        <v>156</v>
      </c>
      <c r="E27" s="188" t="s">
        <v>316</v>
      </c>
      <c r="F27" s="188">
        <v>12.0</v>
      </c>
      <c r="G27" s="188"/>
      <c r="H27" s="188"/>
      <c r="I27" s="188"/>
      <c r="J27" s="188"/>
      <c r="K27" s="188"/>
      <c r="L27" s="188"/>
      <c r="M27" s="188"/>
      <c r="N27" s="188"/>
      <c r="O27" s="188">
        <v>6.0</v>
      </c>
      <c r="P27" s="188">
        <v>6.0</v>
      </c>
      <c r="Q27" s="188"/>
      <c r="R27" s="188"/>
      <c r="S27" s="188"/>
      <c r="T27" s="188"/>
      <c r="U27" s="188"/>
      <c r="V27" s="188"/>
      <c r="W27" s="188">
        <f t="shared" si="3"/>
        <v>12</v>
      </c>
      <c r="X27" s="170"/>
      <c r="Y27" s="170"/>
      <c r="Z27" s="170"/>
    </row>
    <row r="28" ht="24.75" customHeight="1">
      <c r="A28" s="170"/>
      <c r="B28" s="186" t="s">
        <v>260</v>
      </c>
      <c r="C28" s="188" t="s">
        <v>323</v>
      </c>
      <c r="D28" s="188" t="s">
        <v>156</v>
      </c>
      <c r="E28" s="188" t="s">
        <v>316</v>
      </c>
      <c r="F28" s="188">
        <v>5.0</v>
      </c>
      <c r="G28" s="188"/>
      <c r="H28" s="188"/>
      <c r="I28" s="188"/>
      <c r="J28" s="188"/>
      <c r="K28" s="188"/>
      <c r="L28" s="188"/>
      <c r="M28" s="188"/>
      <c r="N28" s="188"/>
      <c r="O28" s="188">
        <v>5.0</v>
      </c>
      <c r="P28" s="188"/>
      <c r="Q28" s="188"/>
      <c r="R28" s="188"/>
      <c r="S28" s="188"/>
      <c r="T28" s="188"/>
      <c r="U28" s="188"/>
      <c r="V28" s="188"/>
      <c r="W28" s="188">
        <f t="shared" si="3"/>
        <v>5</v>
      </c>
      <c r="X28" s="170"/>
      <c r="Y28" s="170"/>
      <c r="Z28" s="170"/>
    </row>
    <row r="29" ht="12.75" customHeight="1">
      <c r="A29" s="170"/>
      <c r="B29" s="170"/>
      <c r="C29" s="173"/>
      <c r="D29" s="178"/>
      <c r="E29" s="170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0"/>
      <c r="X29" s="170"/>
      <c r="Y29" s="170"/>
      <c r="Z29" s="170"/>
    </row>
    <row r="30" ht="12.75" customHeight="1">
      <c r="A30" s="170"/>
      <c r="B30" s="170"/>
      <c r="C30" s="173"/>
      <c r="D30" s="178"/>
      <c r="E30" s="170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0"/>
      <c r="X30" s="170"/>
      <c r="Y30" s="170"/>
      <c r="Z30" s="170"/>
    </row>
    <row r="31" ht="12.75" customHeight="1">
      <c r="A31" s="170"/>
      <c r="B31" s="170"/>
      <c r="C31" s="173"/>
      <c r="D31" s="178"/>
      <c r="E31" s="170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0"/>
      <c r="X31" s="170"/>
      <c r="Y31" s="170"/>
      <c r="Z31" s="170"/>
    </row>
    <row r="32" ht="12.75" customHeight="1">
      <c r="A32" s="170"/>
      <c r="B32" s="170"/>
      <c r="C32" s="173"/>
      <c r="D32" s="178"/>
      <c r="E32" s="170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0"/>
      <c r="X32" s="170"/>
      <c r="Y32" s="170"/>
      <c r="Z32" s="170"/>
    </row>
    <row r="33" ht="12.75" customHeight="1">
      <c r="A33" s="170"/>
      <c r="B33" s="170"/>
      <c r="C33" s="173"/>
      <c r="D33" s="178"/>
      <c r="E33" s="170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0"/>
      <c r="X33" s="170"/>
      <c r="Y33" s="170"/>
      <c r="Z33" s="170"/>
    </row>
    <row r="34" ht="12.75" customHeight="1">
      <c r="A34" s="170"/>
      <c r="B34" s="170"/>
      <c r="C34" s="173"/>
      <c r="D34" s="178"/>
      <c r="E34" s="170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0"/>
      <c r="X34" s="170"/>
      <c r="Y34" s="170"/>
      <c r="Z34" s="170"/>
    </row>
    <row r="35" ht="12.75" customHeight="1">
      <c r="A35" s="170"/>
      <c r="B35" s="170"/>
      <c r="C35" s="173"/>
      <c r="D35" s="178"/>
      <c r="E35" s="170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0"/>
      <c r="X35" s="170"/>
      <c r="Y35" s="170"/>
      <c r="Z35" s="170"/>
    </row>
    <row r="36" ht="12.75" customHeight="1">
      <c r="A36" s="170"/>
      <c r="B36" s="170"/>
      <c r="C36" s="173"/>
      <c r="D36" s="178"/>
      <c r="E36" s="170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0"/>
      <c r="X36" s="170"/>
      <c r="Y36" s="170"/>
      <c r="Z36" s="170"/>
    </row>
    <row r="37" ht="12.75" customHeight="1">
      <c r="A37" s="170"/>
      <c r="B37" s="170"/>
      <c r="C37" s="173"/>
      <c r="D37" s="178"/>
      <c r="E37" s="170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0"/>
      <c r="X37" s="170"/>
      <c r="Y37" s="170"/>
      <c r="Z37" s="170"/>
    </row>
    <row r="38" ht="12.75" customHeight="1">
      <c r="A38" s="170"/>
      <c r="B38" s="170"/>
      <c r="C38" s="173"/>
      <c r="D38" s="178"/>
      <c r="E38" s="170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0"/>
      <c r="X38" s="170"/>
      <c r="Y38" s="170"/>
      <c r="Z38" s="170"/>
    </row>
    <row r="39" ht="12.75" customHeight="1">
      <c r="A39" s="170"/>
      <c r="B39" s="170"/>
      <c r="C39" s="173"/>
      <c r="D39" s="178"/>
      <c r="E39" s="170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0"/>
      <c r="X39" s="170"/>
      <c r="Y39" s="170"/>
      <c r="Z39" s="170"/>
    </row>
    <row r="40" ht="12.75" customHeight="1">
      <c r="A40" s="170"/>
      <c r="B40" s="170"/>
      <c r="C40" s="173"/>
      <c r="D40" s="178"/>
      <c r="E40" s="170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0"/>
      <c r="X40" s="170"/>
      <c r="Y40" s="170"/>
      <c r="Z40" s="170"/>
    </row>
    <row r="41" ht="12.75" customHeight="1">
      <c r="A41" s="170"/>
      <c r="B41" s="170"/>
      <c r="C41" s="173"/>
      <c r="D41" s="178"/>
      <c r="E41" s="170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0"/>
      <c r="X41" s="170"/>
      <c r="Y41" s="170"/>
      <c r="Z41" s="170"/>
    </row>
    <row r="42" ht="12.75" customHeight="1">
      <c r="A42" s="170"/>
      <c r="B42" s="170"/>
      <c r="C42" s="173"/>
      <c r="D42" s="178"/>
      <c r="E42" s="170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0"/>
      <c r="X42" s="170"/>
      <c r="Y42" s="170"/>
      <c r="Z42" s="170"/>
    </row>
    <row r="43" ht="12.75" customHeight="1">
      <c r="A43" s="170"/>
      <c r="B43" s="170"/>
      <c r="C43" s="173"/>
      <c r="D43" s="178"/>
      <c r="E43" s="170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0"/>
      <c r="X43" s="170"/>
      <c r="Y43" s="170"/>
      <c r="Z43" s="170"/>
    </row>
    <row r="44" ht="12.75" customHeight="1">
      <c r="A44" s="170"/>
      <c r="B44" s="170"/>
      <c r="C44" s="173"/>
      <c r="D44" s="178"/>
      <c r="E44" s="170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0"/>
      <c r="X44" s="170"/>
      <c r="Y44" s="170"/>
      <c r="Z44" s="170"/>
    </row>
    <row r="45" ht="12.75" customHeight="1">
      <c r="A45" s="170"/>
      <c r="B45" s="170"/>
      <c r="C45" s="173"/>
      <c r="D45" s="178"/>
      <c r="E45" s="170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0"/>
      <c r="X45" s="170"/>
      <c r="Y45" s="170"/>
      <c r="Z45" s="170"/>
    </row>
    <row r="46" ht="12.75" customHeight="1">
      <c r="A46" s="170"/>
      <c r="B46" s="170"/>
      <c r="C46" s="173"/>
      <c r="D46" s="178"/>
      <c r="E46" s="170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0"/>
      <c r="X46" s="170"/>
      <c r="Y46" s="170"/>
      <c r="Z46" s="170"/>
    </row>
    <row r="47" ht="12.75" customHeight="1">
      <c r="A47" s="170"/>
      <c r="B47" s="170"/>
      <c r="C47" s="173"/>
      <c r="D47" s="178"/>
      <c r="E47" s="170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0"/>
      <c r="X47" s="170"/>
      <c r="Y47" s="170"/>
      <c r="Z47" s="170"/>
    </row>
    <row r="48" ht="12.75" customHeight="1">
      <c r="A48" s="170"/>
      <c r="B48" s="170"/>
      <c r="C48" s="173"/>
      <c r="D48" s="178"/>
      <c r="E48" s="170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0"/>
      <c r="X48" s="170"/>
      <c r="Y48" s="170"/>
      <c r="Z48" s="170"/>
    </row>
    <row r="49" ht="12.75" customHeight="1">
      <c r="A49" s="170"/>
      <c r="B49" s="170"/>
      <c r="C49" s="173"/>
      <c r="D49" s="178"/>
      <c r="E49" s="170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0"/>
      <c r="X49" s="170"/>
      <c r="Y49" s="170"/>
      <c r="Z49" s="170"/>
    </row>
    <row r="50" ht="12.75" customHeight="1">
      <c r="A50" s="170"/>
      <c r="B50" s="170"/>
      <c r="C50" s="173"/>
      <c r="D50" s="178"/>
      <c r="E50" s="170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0"/>
      <c r="X50" s="170"/>
      <c r="Y50" s="170"/>
      <c r="Z50" s="170"/>
    </row>
    <row r="51" ht="12.75" customHeight="1">
      <c r="A51" s="170"/>
      <c r="B51" s="170"/>
      <c r="C51" s="173"/>
      <c r="D51" s="170"/>
      <c r="E51" s="170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0"/>
      <c r="X51" s="170"/>
      <c r="Y51" s="170"/>
      <c r="Z51" s="170"/>
    </row>
    <row r="52" ht="12.75" customHeight="1">
      <c r="A52" s="170"/>
      <c r="B52" s="170"/>
      <c r="C52" s="173"/>
      <c r="D52" s="170"/>
      <c r="E52" s="170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0"/>
      <c r="X52" s="170"/>
      <c r="Y52" s="170"/>
      <c r="Z52" s="170"/>
    </row>
    <row r="53" ht="12.75" customHeight="1">
      <c r="A53" s="170"/>
      <c r="B53" s="170"/>
      <c r="C53" s="173"/>
      <c r="D53" s="170"/>
      <c r="E53" s="170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0"/>
      <c r="X53" s="170"/>
      <c r="Y53" s="170"/>
      <c r="Z53" s="170"/>
    </row>
    <row r="54" ht="12.75" customHeight="1">
      <c r="A54" s="170"/>
      <c r="B54" s="170"/>
      <c r="C54" s="173"/>
      <c r="D54" s="170"/>
      <c r="E54" s="170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0"/>
      <c r="X54" s="170"/>
      <c r="Y54" s="170"/>
      <c r="Z54" s="170"/>
    </row>
    <row r="55" ht="12.75" customHeight="1">
      <c r="A55" s="170"/>
      <c r="B55" s="170"/>
      <c r="C55" s="173"/>
      <c r="D55" s="170"/>
      <c r="E55" s="170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0"/>
      <c r="X55" s="170"/>
      <c r="Y55" s="170"/>
      <c r="Z55" s="170"/>
    </row>
    <row r="56" ht="12.75" customHeight="1">
      <c r="A56" s="170"/>
      <c r="B56" s="170"/>
      <c r="C56" s="173"/>
      <c r="D56" s="170"/>
      <c r="E56" s="170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0"/>
      <c r="X56" s="170"/>
      <c r="Y56" s="170"/>
      <c r="Z56" s="170"/>
    </row>
    <row r="57" ht="12.75" customHeight="1">
      <c r="A57" s="170"/>
      <c r="B57" s="170"/>
      <c r="C57" s="173"/>
      <c r="D57" s="170"/>
      <c r="E57" s="170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0"/>
      <c r="X57" s="170"/>
      <c r="Y57" s="170"/>
      <c r="Z57" s="170"/>
    </row>
    <row r="58" ht="12.75" customHeight="1">
      <c r="A58" s="170"/>
      <c r="B58" s="170"/>
      <c r="C58" s="173"/>
      <c r="D58" s="170"/>
      <c r="E58" s="170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0"/>
      <c r="X58" s="170"/>
      <c r="Y58" s="170"/>
      <c r="Z58" s="170"/>
    </row>
    <row r="59" ht="12.75" customHeight="1">
      <c r="A59" s="170"/>
      <c r="B59" s="170"/>
      <c r="C59" s="173"/>
      <c r="D59" s="170"/>
      <c r="E59" s="170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0"/>
      <c r="X59" s="170"/>
      <c r="Y59" s="170"/>
      <c r="Z59" s="170"/>
    </row>
    <row r="60" ht="12.75" customHeight="1">
      <c r="A60" s="170"/>
      <c r="B60" s="170"/>
      <c r="C60" s="173"/>
      <c r="D60" s="170"/>
      <c r="E60" s="170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0"/>
      <c r="X60" s="170"/>
      <c r="Y60" s="170"/>
      <c r="Z60" s="170"/>
    </row>
    <row r="61" ht="12.75" customHeight="1">
      <c r="A61" s="170"/>
      <c r="B61" s="170"/>
      <c r="C61" s="173"/>
      <c r="D61" s="170"/>
      <c r="E61" s="170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0"/>
      <c r="X61" s="170"/>
      <c r="Y61" s="170"/>
      <c r="Z61" s="170"/>
    </row>
    <row r="62" ht="12.75" customHeight="1">
      <c r="A62" s="170"/>
      <c r="B62" s="170"/>
      <c r="C62" s="173"/>
      <c r="D62" s="170"/>
      <c r="E62" s="170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0"/>
      <c r="X62" s="170"/>
      <c r="Y62" s="170"/>
      <c r="Z62" s="170"/>
    </row>
    <row r="63" ht="12.75" customHeight="1">
      <c r="A63" s="170"/>
      <c r="B63" s="170"/>
      <c r="C63" s="173"/>
      <c r="D63" s="170"/>
      <c r="E63" s="170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0"/>
      <c r="X63" s="170"/>
      <c r="Y63" s="170"/>
      <c r="Z63" s="170"/>
    </row>
    <row r="64" ht="12.75" customHeight="1">
      <c r="A64" s="170"/>
      <c r="B64" s="170"/>
      <c r="C64" s="173"/>
      <c r="D64" s="170"/>
      <c r="E64" s="170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0"/>
      <c r="X64" s="170"/>
      <c r="Y64" s="170"/>
      <c r="Z64" s="170"/>
    </row>
    <row r="65" ht="12.75" customHeight="1">
      <c r="A65" s="170"/>
      <c r="B65" s="170"/>
      <c r="C65" s="173"/>
      <c r="D65" s="170"/>
      <c r="E65" s="170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0"/>
      <c r="X65" s="170"/>
      <c r="Y65" s="170"/>
      <c r="Z65" s="170"/>
    </row>
    <row r="66" ht="12.75" customHeight="1">
      <c r="A66" s="170"/>
      <c r="B66" s="170"/>
      <c r="C66" s="173"/>
      <c r="D66" s="170"/>
      <c r="E66" s="170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0"/>
      <c r="X66" s="170"/>
      <c r="Y66" s="170"/>
      <c r="Z66" s="170"/>
    </row>
    <row r="67" ht="12.75" customHeight="1">
      <c r="A67" s="170"/>
      <c r="B67" s="170"/>
      <c r="C67" s="173"/>
      <c r="D67" s="170"/>
      <c r="E67" s="170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0"/>
      <c r="X67" s="170"/>
      <c r="Y67" s="170"/>
      <c r="Z67" s="170"/>
    </row>
    <row r="68" ht="12.75" customHeight="1">
      <c r="A68" s="170"/>
      <c r="B68" s="170"/>
      <c r="C68" s="173"/>
      <c r="D68" s="170"/>
      <c r="E68" s="170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0"/>
      <c r="X68" s="170"/>
      <c r="Y68" s="170"/>
      <c r="Z68" s="170"/>
    </row>
    <row r="69" ht="12.75" customHeight="1">
      <c r="A69" s="170"/>
      <c r="B69" s="170"/>
      <c r="C69" s="173"/>
      <c r="D69" s="170"/>
      <c r="E69" s="170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0"/>
      <c r="X69" s="170"/>
      <c r="Y69" s="170"/>
      <c r="Z69" s="170"/>
    </row>
    <row r="70" ht="12.75" customHeight="1">
      <c r="A70" s="170"/>
      <c r="B70" s="170"/>
      <c r="C70" s="173"/>
      <c r="D70" s="170"/>
      <c r="E70" s="170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0"/>
      <c r="X70" s="170"/>
      <c r="Y70" s="170"/>
      <c r="Z70" s="170"/>
    </row>
    <row r="71" ht="12.75" customHeight="1">
      <c r="A71" s="170"/>
      <c r="B71" s="170"/>
      <c r="C71" s="173"/>
      <c r="D71" s="170"/>
      <c r="E71" s="170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0"/>
      <c r="X71" s="170"/>
      <c r="Y71" s="170"/>
      <c r="Z71" s="170"/>
    </row>
    <row r="72" ht="12.75" customHeight="1">
      <c r="A72" s="170"/>
      <c r="B72" s="170"/>
      <c r="C72" s="173"/>
      <c r="D72" s="170"/>
      <c r="E72" s="170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0"/>
      <c r="X72" s="170"/>
      <c r="Y72" s="170"/>
      <c r="Z72" s="170"/>
    </row>
    <row r="73" ht="12.75" customHeight="1">
      <c r="A73" s="170"/>
      <c r="B73" s="170"/>
      <c r="C73" s="173"/>
      <c r="D73" s="170"/>
      <c r="E73" s="170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0"/>
      <c r="X73" s="170"/>
      <c r="Y73" s="170"/>
      <c r="Z73" s="170"/>
    </row>
    <row r="74" ht="12.75" customHeight="1">
      <c r="A74" s="170"/>
      <c r="B74" s="170"/>
      <c r="C74" s="173"/>
      <c r="D74" s="170"/>
      <c r="E74" s="170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0"/>
      <c r="X74" s="170"/>
      <c r="Y74" s="170"/>
      <c r="Z74" s="170"/>
    </row>
    <row r="75" ht="12.75" customHeight="1">
      <c r="A75" s="170"/>
      <c r="B75" s="170"/>
      <c r="C75" s="173"/>
      <c r="D75" s="170"/>
      <c r="E75" s="170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0"/>
      <c r="X75" s="170"/>
      <c r="Y75" s="170"/>
      <c r="Z75" s="170"/>
    </row>
    <row r="76" ht="12.75" customHeight="1">
      <c r="A76" s="170"/>
      <c r="B76" s="170"/>
      <c r="C76" s="173"/>
      <c r="D76" s="170"/>
      <c r="E76" s="170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0"/>
      <c r="X76" s="170"/>
      <c r="Y76" s="170"/>
      <c r="Z76" s="170"/>
    </row>
    <row r="77" ht="12.75" customHeight="1">
      <c r="A77" s="170"/>
      <c r="B77" s="170"/>
      <c r="C77" s="173"/>
      <c r="D77" s="170"/>
      <c r="E77" s="170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0"/>
      <c r="X77" s="170"/>
      <c r="Y77" s="170"/>
      <c r="Z77" s="170"/>
    </row>
    <row r="78" ht="12.75" customHeight="1">
      <c r="A78" s="170"/>
      <c r="B78" s="170"/>
      <c r="C78" s="173"/>
      <c r="D78" s="170"/>
      <c r="E78" s="170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0"/>
      <c r="X78" s="170"/>
      <c r="Y78" s="170"/>
      <c r="Z78" s="170"/>
    </row>
    <row r="79" ht="12.75" customHeight="1">
      <c r="A79" s="170"/>
      <c r="B79" s="170"/>
      <c r="C79" s="173"/>
      <c r="D79" s="170"/>
      <c r="E79" s="170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0"/>
      <c r="X79" s="170"/>
      <c r="Y79" s="170"/>
      <c r="Z79" s="170"/>
    </row>
    <row r="80" ht="12.75" customHeight="1">
      <c r="A80" s="170"/>
      <c r="B80" s="170"/>
      <c r="C80" s="173"/>
      <c r="D80" s="170"/>
      <c r="E80" s="170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0"/>
      <c r="X80" s="170"/>
      <c r="Y80" s="170"/>
      <c r="Z80" s="170"/>
    </row>
    <row r="81" ht="12.75" customHeight="1">
      <c r="A81" s="170"/>
      <c r="B81" s="170"/>
      <c r="C81" s="173"/>
      <c r="D81" s="170"/>
      <c r="E81" s="170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0"/>
      <c r="X81" s="170"/>
      <c r="Y81" s="170"/>
      <c r="Z81" s="170"/>
    </row>
    <row r="82" ht="12.75" customHeight="1">
      <c r="A82" s="170"/>
      <c r="B82" s="170"/>
      <c r="C82" s="173"/>
      <c r="D82" s="170"/>
      <c r="E82" s="170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0"/>
      <c r="X82" s="170"/>
      <c r="Y82" s="170"/>
      <c r="Z82" s="170"/>
    </row>
    <row r="83" ht="12.75" customHeight="1">
      <c r="A83" s="170"/>
      <c r="B83" s="170"/>
      <c r="C83" s="173"/>
      <c r="D83" s="170"/>
      <c r="E83" s="170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0"/>
      <c r="X83" s="170"/>
      <c r="Y83" s="170"/>
      <c r="Z83" s="170"/>
    </row>
    <row r="84" ht="12.75" customHeight="1">
      <c r="A84" s="170"/>
      <c r="B84" s="170"/>
      <c r="C84" s="173"/>
      <c r="D84" s="170"/>
      <c r="E84" s="170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0"/>
      <c r="X84" s="170"/>
      <c r="Y84" s="170"/>
      <c r="Z84" s="170"/>
    </row>
    <row r="85" ht="12.75" customHeight="1">
      <c r="A85" s="170"/>
      <c r="B85" s="170"/>
      <c r="C85" s="173"/>
      <c r="D85" s="170"/>
      <c r="E85" s="170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0"/>
      <c r="X85" s="170"/>
      <c r="Y85" s="170"/>
      <c r="Z85" s="170"/>
    </row>
    <row r="86" ht="12.75" customHeight="1">
      <c r="A86" s="170"/>
      <c r="B86" s="170"/>
      <c r="C86" s="173"/>
      <c r="D86" s="170"/>
      <c r="E86" s="170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0"/>
      <c r="X86" s="170"/>
      <c r="Y86" s="170"/>
      <c r="Z86" s="170"/>
    </row>
    <row r="87" ht="12.75" customHeight="1">
      <c r="A87" s="170"/>
      <c r="B87" s="170"/>
      <c r="C87" s="173"/>
      <c r="D87" s="170"/>
      <c r="E87" s="170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0"/>
      <c r="X87" s="170"/>
      <c r="Y87" s="170"/>
      <c r="Z87" s="170"/>
    </row>
    <row r="88" ht="12.75" customHeight="1">
      <c r="A88" s="170"/>
      <c r="B88" s="170"/>
      <c r="C88" s="173"/>
      <c r="D88" s="170"/>
      <c r="E88" s="170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0"/>
      <c r="X88" s="170"/>
      <c r="Y88" s="170"/>
      <c r="Z88" s="170"/>
    </row>
    <row r="89" ht="12.75" customHeight="1">
      <c r="A89" s="170"/>
      <c r="B89" s="170"/>
      <c r="C89" s="173"/>
      <c r="D89" s="170"/>
      <c r="E89" s="170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0"/>
      <c r="X89" s="170"/>
      <c r="Y89" s="170"/>
      <c r="Z89" s="170"/>
    </row>
    <row r="90" ht="12.75" customHeight="1">
      <c r="A90" s="170"/>
      <c r="B90" s="170"/>
      <c r="C90" s="173"/>
      <c r="D90" s="170"/>
      <c r="E90" s="170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0"/>
      <c r="X90" s="170"/>
      <c r="Y90" s="170"/>
      <c r="Z90" s="170"/>
    </row>
    <row r="91" ht="12.75" customHeight="1">
      <c r="A91" s="170"/>
      <c r="B91" s="170"/>
      <c r="C91" s="173"/>
      <c r="D91" s="170"/>
      <c r="E91" s="170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0"/>
      <c r="X91" s="170"/>
      <c r="Y91" s="170"/>
      <c r="Z91" s="170"/>
    </row>
    <row r="92" ht="12.75" customHeight="1">
      <c r="A92" s="170"/>
      <c r="B92" s="170"/>
      <c r="C92" s="173"/>
      <c r="D92" s="170"/>
      <c r="E92" s="170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0"/>
      <c r="X92" s="170"/>
      <c r="Y92" s="170"/>
      <c r="Z92" s="170"/>
    </row>
    <row r="93" ht="12.75" customHeight="1">
      <c r="A93" s="170"/>
      <c r="B93" s="170"/>
      <c r="C93" s="173"/>
      <c r="D93" s="170"/>
      <c r="E93" s="170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0"/>
      <c r="X93" s="170"/>
      <c r="Y93" s="170"/>
      <c r="Z93" s="170"/>
    </row>
    <row r="94" ht="12.75" customHeight="1">
      <c r="A94" s="170"/>
      <c r="B94" s="170"/>
      <c r="C94" s="173"/>
      <c r="D94" s="170"/>
      <c r="E94" s="170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0"/>
      <c r="X94" s="170"/>
      <c r="Y94" s="170"/>
      <c r="Z94" s="170"/>
    </row>
    <row r="95" ht="12.75" customHeight="1">
      <c r="A95" s="170"/>
      <c r="B95" s="170"/>
      <c r="C95" s="173"/>
      <c r="D95" s="170"/>
      <c r="E95" s="170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0"/>
      <c r="X95" s="170"/>
      <c r="Y95" s="170"/>
      <c r="Z95" s="170"/>
    </row>
    <row r="96" ht="12.75" customHeight="1">
      <c r="A96" s="170"/>
      <c r="B96" s="170"/>
      <c r="C96" s="173"/>
      <c r="D96" s="170"/>
      <c r="E96" s="170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0"/>
      <c r="X96" s="170"/>
      <c r="Y96" s="170"/>
      <c r="Z96" s="170"/>
    </row>
    <row r="97" ht="12.75" customHeight="1">
      <c r="A97" s="170"/>
      <c r="B97" s="170"/>
      <c r="C97" s="173"/>
      <c r="D97" s="170"/>
      <c r="E97" s="170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0"/>
      <c r="X97" s="170"/>
      <c r="Y97" s="170"/>
      <c r="Z97" s="170"/>
    </row>
    <row r="98" ht="12.75" customHeight="1">
      <c r="A98" s="170"/>
      <c r="B98" s="170"/>
      <c r="C98" s="173"/>
      <c r="D98" s="170"/>
      <c r="E98" s="170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0"/>
      <c r="X98" s="170"/>
      <c r="Y98" s="170"/>
      <c r="Z98" s="170"/>
    </row>
    <row r="99" ht="12.75" customHeight="1">
      <c r="A99" s="170"/>
      <c r="B99" s="170"/>
      <c r="C99" s="173"/>
      <c r="D99" s="170"/>
      <c r="E99" s="170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0"/>
      <c r="X99" s="170"/>
      <c r="Y99" s="170"/>
      <c r="Z99" s="170"/>
    </row>
    <row r="100" ht="12.75" customHeight="1">
      <c r="A100" s="170"/>
      <c r="B100" s="170"/>
      <c r="C100" s="173"/>
      <c r="D100" s="170"/>
      <c r="E100" s="170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0"/>
      <c r="X100" s="170"/>
      <c r="Y100" s="170"/>
      <c r="Z100" s="170"/>
    </row>
    <row r="101" ht="12.75" customHeight="1">
      <c r="A101" s="170"/>
      <c r="B101" s="170"/>
      <c r="C101" s="173"/>
      <c r="D101" s="170"/>
      <c r="E101" s="170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0"/>
      <c r="X101" s="170"/>
      <c r="Y101" s="170"/>
      <c r="Z101" s="170"/>
    </row>
    <row r="102" ht="12.75" customHeight="1">
      <c r="A102" s="170"/>
      <c r="B102" s="170"/>
      <c r="C102" s="173"/>
      <c r="D102" s="170"/>
      <c r="E102" s="170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0"/>
      <c r="X102" s="170"/>
      <c r="Y102" s="170"/>
      <c r="Z102" s="170"/>
    </row>
    <row r="103" ht="12.75" customHeight="1">
      <c r="A103" s="170"/>
      <c r="B103" s="170"/>
      <c r="C103" s="173"/>
      <c r="D103" s="170"/>
      <c r="E103" s="170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0"/>
      <c r="X103" s="170"/>
      <c r="Y103" s="170"/>
      <c r="Z103" s="170"/>
    </row>
    <row r="104" ht="12.75" customHeight="1">
      <c r="A104" s="170"/>
      <c r="B104" s="170"/>
      <c r="C104" s="173"/>
      <c r="D104" s="170"/>
      <c r="E104" s="170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0"/>
      <c r="X104" s="170"/>
      <c r="Y104" s="170"/>
      <c r="Z104" s="170"/>
    </row>
    <row r="105" ht="12.75" customHeight="1">
      <c r="A105" s="170"/>
      <c r="B105" s="170"/>
      <c r="C105" s="173"/>
      <c r="D105" s="170"/>
      <c r="E105" s="170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0"/>
      <c r="X105" s="170"/>
      <c r="Y105" s="170"/>
      <c r="Z105" s="170"/>
    </row>
    <row r="106" ht="12.75" customHeight="1">
      <c r="A106" s="170"/>
      <c r="B106" s="170"/>
      <c r="C106" s="173"/>
      <c r="D106" s="170"/>
      <c r="E106" s="170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0"/>
      <c r="X106" s="170"/>
      <c r="Y106" s="170"/>
      <c r="Z106" s="170"/>
    </row>
    <row r="107" ht="12.75" customHeight="1">
      <c r="A107" s="170"/>
      <c r="B107" s="170"/>
      <c r="C107" s="173"/>
      <c r="D107" s="170"/>
      <c r="E107" s="170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0"/>
      <c r="X107" s="170"/>
      <c r="Y107" s="170"/>
      <c r="Z107" s="170"/>
    </row>
    <row r="108" ht="12.75" customHeight="1">
      <c r="A108" s="170"/>
      <c r="B108" s="170"/>
      <c r="C108" s="173"/>
      <c r="D108" s="170"/>
      <c r="E108" s="170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0"/>
      <c r="X108" s="170"/>
      <c r="Y108" s="170"/>
      <c r="Z108" s="170"/>
    </row>
    <row r="109" ht="12.75" customHeight="1">
      <c r="A109" s="170"/>
      <c r="B109" s="170"/>
      <c r="C109" s="173"/>
      <c r="D109" s="170"/>
      <c r="E109" s="170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0"/>
      <c r="X109" s="170"/>
      <c r="Y109" s="170"/>
      <c r="Z109" s="170"/>
    </row>
    <row r="110" ht="12.75" customHeight="1">
      <c r="A110" s="170"/>
      <c r="B110" s="170"/>
      <c r="C110" s="173"/>
      <c r="D110" s="170"/>
      <c r="E110" s="170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0"/>
      <c r="X110" s="170"/>
      <c r="Y110" s="170"/>
      <c r="Z110" s="170"/>
    </row>
    <row r="111" ht="12.75" customHeight="1">
      <c r="A111" s="170"/>
      <c r="B111" s="170"/>
      <c r="C111" s="173"/>
      <c r="D111" s="170"/>
      <c r="E111" s="170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0"/>
      <c r="X111" s="170"/>
      <c r="Y111" s="170"/>
      <c r="Z111" s="170"/>
    </row>
    <row r="112" ht="12.75" customHeight="1">
      <c r="A112" s="170"/>
      <c r="B112" s="170"/>
      <c r="C112" s="173"/>
      <c r="D112" s="170"/>
      <c r="E112" s="170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0"/>
      <c r="X112" s="170"/>
      <c r="Y112" s="170"/>
      <c r="Z112" s="170"/>
    </row>
    <row r="113" ht="12.75" customHeight="1">
      <c r="A113" s="170"/>
      <c r="B113" s="170"/>
      <c r="C113" s="173"/>
      <c r="D113" s="170"/>
      <c r="E113" s="170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0"/>
      <c r="X113" s="170"/>
      <c r="Y113" s="170"/>
      <c r="Z113" s="170"/>
    </row>
    <row r="114" ht="12.75" customHeight="1">
      <c r="A114" s="170"/>
      <c r="B114" s="170"/>
      <c r="C114" s="173"/>
      <c r="D114" s="170"/>
      <c r="E114" s="170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0"/>
      <c r="X114" s="170"/>
      <c r="Y114" s="170"/>
      <c r="Z114" s="170"/>
    </row>
    <row r="115" ht="12.75" customHeight="1">
      <c r="A115" s="170"/>
      <c r="B115" s="170"/>
      <c r="C115" s="173"/>
      <c r="D115" s="170"/>
      <c r="E115" s="170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0"/>
      <c r="X115" s="170"/>
      <c r="Y115" s="170"/>
      <c r="Z115" s="170"/>
    </row>
    <row r="116" ht="12.75" customHeight="1">
      <c r="A116" s="170"/>
      <c r="B116" s="170"/>
      <c r="C116" s="173"/>
      <c r="D116" s="170"/>
      <c r="E116" s="170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0"/>
      <c r="X116" s="170"/>
      <c r="Y116" s="170"/>
      <c r="Z116" s="170"/>
    </row>
    <row r="117" ht="12.75" customHeight="1">
      <c r="A117" s="170"/>
      <c r="B117" s="170"/>
      <c r="C117" s="173"/>
      <c r="D117" s="170"/>
      <c r="E117" s="170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0"/>
      <c r="X117" s="170"/>
      <c r="Y117" s="170"/>
      <c r="Z117" s="170"/>
    </row>
    <row r="118" ht="12.75" customHeight="1">
      <c r="A118" s="170"/>
      <c r="B118" s="170"/>
      <c r="C118" s="173"/>
      <c r="D118" s="170"/>
      <c r="E118" s="170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0"/>
      <c r="X118" s="170"/>
      <c r="Y118" s="170"/>
      <c r="Z118" s="170"/>
    </row>
    <row r="119" ht="12.75" customHeight="1">
      <c r="A119" s="170"/>
      <c r="B119" s="170"/>
      <c r="C119" s="173"/>
      <c r="D119" s="170"/>
      <c r="E119" s="170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0"/>
      <c r="X119" s="170"/>
      <c r="Y119" s="170"/>
      <c r="Z119" s="170"/>
    </row>
    <row r="120" ht="12.75" customHeight="1">
      <c r="A120" s="170"/>
      <c r="B120" s="170"/>
      <c r="C120" s="173"/>
      <c r="D120" s="170"/>
      <c r="E120" s="170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0"/>
      <c r="X120" s="170"/>
      <c r="Y120" s="170"/>
      <c r="Z120" s="170"/>
    </row>
    <row r="121" ht="12.75" customHeight="1">
      <c r="A121" s="170"/>
      <c r="B121" s="170"/>
      <c r="C121" s="173"/>
      <c r="D121" s="170"/>
      <c r="E121" s="170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0"/>
      <c r="X121" s="170"/>
      <c r="Y121" s="170"/>
      <c r="Z121" s="170"/>
    </row>
    <row r="122" ht="12.75" customHeight="1">
      <c r="A122" s="170"/>
      <c r="B122" s="170"/>
      <c r="C122" s="173"/>
      <c r="D122" s="170"/>
      <c r="E122" s="170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0"/>
      <c r="X122" s="170"/>
      <c r="Y122" s="170"/>
      <c r="Z122" s="170"/>
    </row>
    <row r="123" ht="12.75" customHeight="1">
      <c r="A123" s="170"/>
      <c r="B123" s="170"/>
      <c r="C123" s="173"/>
      <c r="D123" s="170"/>
      <c r="E123" s="170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0"/>
      <c r="X123" s="170"/>
      <c r="Y123" s="170"/>
      <c r="Z123" s="170"/>
    </row>
    <row r="124" ht="12.75" customHeight="1">
      <c r="A124" s="170"/>
      <c r="B124" s="170"/>
      <c r="C124" s="173"/>
      <c r="D124" s="170"/>
      <c r="E124" s="170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0"/>
      <c r="X124" s="170"/>
      <c r="Y124" s="170"/>
      <c r="Z124" s="170"/>
    </row>
    <row r="125" ht="12.75" customHeight="1">
      <c r="A125" s="170"/>
      <c r="B125" s="170"/>
      <c r="C125" s="173"/>
      <c r="D125" s="170"/>
      <c r="E125" s="170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0"/>
      <c r="X125" s="170"/>
      <c r="Y125" s="170"/>
      <c r="Z125" s="170"/>
    </row>
    <row r="126" ht="12.75" customHeight="1">
      <c r="A126" s="170"/>
      <c r="B126" s="170"/>
      <c r="C126" s="173"/>
      <c r="D126" s="170"/>
      <c r="E126" s="170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0"/>
      <c r="X126" s="170"/>
      <c r="Y126" s="170"/>
      <c r="Z126" s="170"/>
    </row>
    <row r="127" ht="12.75" customHeight="1">
      <c r="A127" s="170"/>
      <c r="B127" s="170"/>
      <c r="C127" s="173"/>
      <c r="D127" s="170"/>
      <c r="E127" s="170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0"/>
      <c r="X127" s="170"/>
      <c r="Y127" s="170"/>
      <c r="Z127" s="170"/>
    </row>
    <row r="128" ht="12.75" customHeight="1">
      <c r="A128" s="170"/>
      <c r="B128" s="170"/>
      <c r="C128" s="173"/>
      <c r="D128" s="170"/>
      <c r="E128" s="170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0"/>
      <c r="X128" s="170"/>
      <c r="Y128" s="170"/>
      <c r="Z128" s="170"/>
    </row>
    <row r="129" ht="12.75" customHeight="1">
      <c r="A129" s="170"/>
      <c r="B129" s="170"/>
      <c r="C129" s="173"/>
      <c r="D129" s="170"/>
      <c r="E129" s="170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0"/>
      <c r="X129" s="170"/>
      <c r="Y129" s="170"/>
      <c r="Z129" s="170"/>
    </row>
    <row r="130" ht="12.75" customHeight="1">
      <c r="A130" s="170"/>
      <c r="B130" s="170"/>
      <c r="C130" s="173"/>
      <c r="D130" s="170"/>
      <c r="E130" s="170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0"/>
      <c r="X130" s="170"/>
      <c r="Y130" s="170"/>
      <c r="Z130" s="170"/>
    </row>
    <row r="131" ht="12.75" customHeight="1">
      <c r="A131" s="170"/>
      <c r="B131" s="170"/>
      <c r="C131" s="173"/>
      <c r="D131" s="170"/>
      <c r="E131" s="170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0"/>
      <c r="X131" s="170"/>
      <c r="Y131" s="170"/>
      <c r="Z131" s="170"/>
    </row>
    <row r="132" ht="12.75" customHeight="1">
      <c r="A132" s="170"/>
      <c r="B132" s="170"/>
      <c r="C132" s="173"/>
      <c r="D132" s="170"/>
      <c r="E132" s="170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0"/>
      <c r="X132" s="170"/>
      <c r="Y132" s="170"/>
      <c r="Z132" s="170"/>
    </row>
    <row r="133" ht="12.75" customHeight="1">
      <c r="A133" s="170"/>
      <c r="B133" s="170"/>
      <c r="C133" s="173"/>
      <c r="D133" s="170"/>
      <c r="E133" s="170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0"/>
      <c r="X133" s="170"/>
      <c r="Y133" s="170"/>
      <c r="Z133" s="170"/>
    </row>
    <row r="134" ht="12.75" customHeight="1">
      <c r="A134" s="170"/>
      <c r="B134" s="170"/>
      <c r="C134" s="173"/>
      <c r="D134" s="170"/>
      <c r="E134" s="170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0"/>
      <c r="X134" s="170"/>
      <c r="Y134" s="170"/>
      <c r="Z134" s="170"/>
    </row>
    <row r="135" ht="12.75" customHeight="1">
      <c r="A135" s="170"/>
      <c r="B135" s="170"/>
      <c r="C135" s="173"/>
      <c r="D135" s="170"/>
      <c r="E135" s="170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0"/>
      <c r="X135" s="170"/>
      <c r="Y135" s="170"/>
      <c r="Z135" s="170"/>
    </row>
    <row r="136" ht="12.75" customHeight="1">
      <c r="A136" s="170"/>
      <c r="B136" s="170"/>
      <c r="C136" s="173"/>
      <c r="D136" s="170"/>
      <c r="E136" s="170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0"/>
      <c r="X136" s="170"/>
      <c r="Y136" s="170"/>
      <c r="Z136" s="170"/>
    </row>
    <row r="137" ht="12.75" customHeight="1">
      <c r="A137" s="170"/>
      <c r="B137" s="170"/>
      <c r="C137" s="173"/>
      <c r="D137" s="170"/>
      <c r="E137" s="170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0"/>
      <c r="X137" s="170"/>
      <c r="Y137" s="170"/>
      <c r="Z137" s="170"/>
    </row>
    <row r="138" ht="12.75" customHeight="1">
      <c r="A138" s="170"/>
      <c r="B138" s="170"/>
      <c r="C138" s="173"/>
      <c r="D138" s="170"/>
      <c r="E138" s="170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0"/>
      <c r="X138" s="170"/>
      <c r="Y138" s="170"/>
      <c r="Z138" s="170"/>
    </row>
    <row r="139" ht="12.75" customHeight="1">
      <c r="A139" s="170"/>
      <c r="B139" s="170"/>
      <c r="C139" s="173"/>
      <c r="D139" s="170"/>
      <c r="E139" s="170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0"/>
      <c r="X139" s="170"/>
      <c r="Y139" s="170"/>
      <c r="Z139" s="170"/>
    </row>
    <row r="140" ht="12.75" customHeight="1">
      <c r="A140" s="170"/>
      <c r="B140" s="170"/>
      <c r="C140" s="173"/>
      <c r="D140" s="170"/>
      <c r="E140" s="170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0"/>
      <c r="X140" s="170"/>
      <c r="Y140" s="170"/>
      <c r="Z140" s="170"/>
    </row>
    <row r="141" ht="12.75" customHeight="1">
      <c r="A141" s="170"/>
      <c r="B141" s="170"/>
      <c r="C141" s="173"/>
      <c r="D141" s="170"/>
      <c r="E141" s="170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0"/>
      <c r="X141" s="170"/>
      <c r="Y141" s="170"/>
      <c r="Z141" s="170"/>
    </row>
    <row r="142" ht="12.75" customHeight="1">
      <c r="A142" s="170"/>
      <c r="B142" s="170"/>
      <c r="C142" s="173"/>
      <c r="D142" s="170"/>
      <c r="E142" s="170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0"/>
      <c r="X142" s="170"/>
      <c r="Y142" s="170"/>
      <c r="Z142" s="170"/>
    </row>
    <row r="143" ht="12.75" customHeight="1">
      <c r="A143" s="170"/>
      <c r="B143" s="170"/>
      <c r="C143" s="173"/>
      <c r="D143" s="170"/>
      <c r="E143" s="170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0"/>
      <c r="X143" s="170"/>
      <c r="Y143" s="170"/>
      <c r="Z143" s="170"/>
    </row>
    <row r="144" ht="12.75" customHeight="1">
      <c r="A144" s="170"/>
      <c r="B144" s="170"/>
      <c r="C144" s="173"/>
      <c r="D144" s="170"/>
      <c r="E144" s="170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0"/>
      <c r="X144" s="170"/>
      <c r="Y144" s="170"/>
      <c r="Z144" s="170"/>
    </row>
    <row r="145" ht="12.75" customHeight="1">
      <c r="A145" s="170"/>
      <c r="B145" s="170"/>
      <c r="C145" s="173"/>
      <c r="D145" s="170"/>
      <c r="E145" s="170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0"/>
      <c r="X145" s="170"/>
      <c r="Y145" s="170"/>
      <c r="Z145" s="170"/>
    </row>
    <row r="146" ht="12.75" customHeight="1">
      <c r="A146" s="170"/>
      <c r="B146" s="170"/>
      <c r="C146" s="173"/>
      <c r="D146" s="170"/>
      <c r="E146" s="170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0"/>
      <c r="X146" s="170"/>
      <c r="Y146" s="170"/>
      <c r="Z146" s="170"/>
    </row>
    <row r="147" ht="12.75" customHeight="1">
      <c r="A147" s="170"/>
      <c r="B147" s="170"/>
      <c r="C147" s="173"/>
      <c r="D147" s="170"/>
      <c r="E147" s="170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0"/>
      <c r="X147" s="170"/>
      <c r="Y147" s="170"/>
      <c r="Z147" s="170"/>
    </row>
    <row r="148" ht="12.75" customHeight="1">
      <c r="A148" s="170"/>
      <c r="B148" s="170"/>
      <c r="C148" s="173"/>
      <c r="D148" s="170"/>
      <c r="E148" s="170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0"/>
      <c r="X148" s="170"/>
      <c r="Y148" s="170"/>
      <c r="Z148" s="170"/>
    </row>
    <row r="149" ht="12.75" customHeight="1">
      <c r="A149" s="170"/>
      <c r="B149" s="170"/>
      <c r="C149" s="173"/>
      <c r="D149" s="170"/>
      <c r="E149" s="170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0"/>
      <c r="X149" s="170"/>
      <c r="Y149" s="170"/>
      <c r="Z149" s="170"/>
    </row>
    <row r="150" ht="12.75" customHeight="1">
      <c r="A150" s="170"/>
      <c r="B150" s="170"/>
      <c r="C150" s="173"/>
      <c r="D150" s="170"/>
      <c r="E150" s="170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0"/>
      <c r="X150" s="170"/>
      <c r="Y150" s="170"/>
      <c r="Z150" s="170"/>
    </row>
    <row r="151" ht="12.75" customHeight="1">
      <c r="A151" s="170"/>
      <c r="B151" s="170"/>
      <c r="C151" s="173"/>
      <c r="D151" s="170"/>
      <c r="E151" s="170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0"/>
      <c r="X151" s="170"/>
      <c r="Y151" s="170"/>
      <c r="Z151" s="170"/>
    </row>
    <row r="152" ht="12.75" customHeight="1">
      <c r="A152" s="170"/>
      <c r="B152" s="170"/>
      <c r="C152" s="173"/>
      <c r="D152" s="170"/>
      <c r="E152" s="170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0"/>
      <c r="X152" s="170"/>
      <c r="Y152" s="170"/>
      <c r="Z152" s="170"/>
    </row>
    <row r="153" ht="12.75" customHeight="1">
      <c r="A153" s="170"/>
      <c r="B153" s="170"/>
      <c r="C153" s="173"/>
      <c r="D153" s="170"/>
      <c r="E153" s="170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0"/>
      <c r="X153" s="170"/>
      <c r="Y153" s="170"/>
      <c r="Z153" s="170"/>
    </row>
    <row r="154" ht="12.75" customHeight="1">
      <c r="A154" s="170"/>
      <c r="B154" s="170"/>
      <c r="C154" s="173"/>
      <c r="D154" s="170"/>
      <c r="E154" s="170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0"/>
      <c r="X154" s="170"/>
      <c r="Y154" s="170"/>
      <c r="Z154" s="170"/>
    </row>
    <row r="155" ht="12.75" customHeight="1">
      <c r="A155" s="170"/>
      <c r="B155" s="170"/>
      <c r="C155" s="173"/>
      <c r="D155" s="170"/>
      <c r="E155" s="170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0"/>
      <c r="X155" s="170"/>
      <c r="Y155" s="170"/>
      <c r="Z155" s="170"/>
    </row>
    <row r="156" ht="12.75" customHeight="1">
      <c r="A156" s="170"/>
      <c r="B156" s="170"/>
      <c r="C156" s="173"/>
      <c r="D156" s="170"/>
      <c r="E156" s="170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0"/>
      <c r="X156" s="170"/>
      <c r="Y156" s="170"/>
      <c r="Z156" s="170"/>
    </row>
    <row r="157" ht="12.75" customHeight="1">
      <c r="A157" s="170"/>
      <c r="B157" s="170"/>
      <c r="C157" s="173"/>
      <c r="D157" s="170"/>
      <c r="E157" s="170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0"/>
      <c r="X157" s="170"/>
      <c r="Y157" s="170"/>
      <c r="Z157" s="170"/>
    </row>
    <row r="158" ht="12.75" customHeight="1">
      <c r="A158" s="170"/>
      <c r="B158" s="170"/>
      <c r="C158" s="173"/>
      <c r="D158" s="170"/>
      <c r="E158" s="170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0"/>
      <c r="X158" s="170"/>
      <c r="Y158" s="170"/>
      <c r="Z158" s="170"/>
    </row>
    <row r="159" ht="12.75" customHeight="1">
      <c r="A159" s="170"/>
      <c r="B159" s="170"/>
      <c r="C159" s="173"/>
      <c r="D159" s="170"/>
      <c r="E159" s="170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0"/>
      <c r="X159" s="170"/>
      <c r="Y159" s="170"/>
      <c r="Z159" s="170"/>
    </row>
    <row r="160" ht="12.75" customHeight="1">
      <c r="A160" s="170"/>
      <c r="B160" s="170"/>
      <c r="C160" s="173"/>
      <c r="D160" s="170"/>
      <c r="E160" s="170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0"/>
      <c r="X160" s="170"/>
      <c r="Y160" s="170"/>
      <c r="Z160" s="170"/>
    </row>
    <row r="161" ht="12.75" customHeight="1">
      <c r="A161" s="170"/>
      <c r="B161" s="170"/>
      <c r="C161" s="173"/>
      <c r="D161" s="170"/>
      <c r="E161" s="170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0"/>
      <c r="X161" s="170"/>
      <c r="Y161" s="170"/>
      <c r="Z161" s="170"/>
    </row>
    <row r="162" ht="12.75" customHeight="1">
      <c r="A162" s="170"/>
      <c r="B162" s="170"/>
      <c r="C162" s="173"/>
      <c r="D162" s="170"/>
      <c r="E162" s="170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0"/>
      <c r="X162" s="170"/>
      <c r="Y162" s="170"/>
      <c r="Z162" s="170"/>
    </row>
    <row r="163" ht="12.75" customHeight="1">
      <c r="A163" s="170"/>
      <c r="B163" s="170"/>
      <c r="C163" s="173"/>
      <c r="D163" s="170"/>
      <c r="E163" s="170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0"/>
      <c r="X163" s="170"/>
      <c r="Y163" s="170"/>
      <c r="Z163" s="170"/>
    </row>
    <row r="164" ht="12.75" customHeight="1">
      <c r="A164" s="170"/>
      <c r="B164" s="170"/>
      <c r="C164" s="173"/>
      <c r="D164" s="170"/>
      <c r="E164" s="170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0"/>
      <c r="X164" s="170"/>
      <c r="Y164" s="170"/>
      <c r="Z164" s="170"/>
    </row>
    <row r="165" ht="12.75" customHeight="1">
      <c r="A165" s="170"/>
      <c r="B165" s="170"/>
      <c r="C165" s="173"/>
      <c r="D165" s="170"/>
      <c r="E165" s="170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0"/>
      <c r="X165" s="170"/>
      <c r="Y165" s="170"/>
      <c r="Z165" s="170"/>
    </row>
    <row r="166" ht="12.75" customHeight="1">
      <c r="A166" s="170"/>
      <c r="B166" s="170"/>
      <c r="C166" s="173"/>
      <c r="D166" s="170"/>
      <c r="E166" s="170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0"/>
      <c r="X166" s="170"/>
      <c r="Y166" s="170"/>
      <c r="Z166" s="170"/>
    </row>
    <row r="167" ht="12.75" customHeight="1">
      <c r="A167" s="170"/>
      <c r="B167" s="170"/>
      <c r="C167" s="173"/>
      <c r="D167" s="170"/>
      <c r="E167" s="170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0"/>
      <c r="X167" s="170"/>
      <c r="Y167" s="170"/>
      <c r="Z167" s="170"/>
    </row>
    <row r="168" ht="12.75" customHeight="1">
      <c r="A168" s="170"/>
      <c r="B168" s="170"/>
      <c r="C168" s="173"/>
      <c r="D168" s="170"/>
      <c r="E168" s="170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0"/>
      <c r="X168" s="170"/>
      <c r="Y168" s="170"/>
      <c r="Z168" s="170"/>
    </row>
    <row r="169" ht="12.75" customHeight="1">
      <c r="A169" s="170"/>
      <c r="B169" s="170"/>
      <c r="C169" s="173"/>
      <c r="D169" s="170"/>
      <c r="E169" s="170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0"/>
      <c r="X169" s="170"/>
      <c r="Y169" s="170"/>
      <c r="Z169" s="170"/>
    </row>
    <row r="170" ht="12.75" customHeight="1">
      <c r="A170" s="170"/>
      <c r="B170" s="170"/>
      <c r="C170" s="173"/>
      <c r="D170" s="170"/>
      <c r="E170" s="170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0"/>
      <c r="X170" s="170"/>
      <c r="Y170" s="170"/>
      <c r="Z170" s="170"/>
    </row>
    <row r="171" ht="12.75" customHeight="1">
      <c r="A171" s="170"/>
      <c r="B171" s="170"/>
      <c r="C171" s="173"/>
      <c r="D171" s="170"/>
      <c r="E171" s="170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0"/>
      <c r="X171" s="170"/>
      <c r="Y171" s="170"/>
      <c r="Z171" s="170"/>
    </row>
    <row r="172" ht="12.75" customHeight="1">
      <c r="A172" s="170"/>
      <c r="B172" s="170"/>
      <c r="C172" s="173"/>
      <c r="D172" s="170"/>
      <c r="E172" s="170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0"/>
      <c r="X172" s="170"/>
      <c r="Y172" s="170"/>
      <c r="Z172" s="170"/>
    </row>
    <row r="173" ht="12.75" customHeight="1">
      <c r="A173" s="170"/>
      <c r="B173" s="170"/>
      <c r="C173" s="173"/>
      <c r="D173" s="170"/>
      <c r="E173" s="170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0"/>
      <c r="X173" s="170"/>
      <c r="Y173" s="170"/>
      <c r="Z173" s="170"/>
    </row>
    <row r="174" ht="12.75" customHeight="1">
      <c r="A174" s="170"/>
      <c r="B174" s="170"/>
      <c r="C174" s="173"/>
      <c r="D174" s="170"/>
      <c r="E174" s="170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0"/>
      <c r="X174" s="170"/>
      <c r="Y174" s="170"/>
      <c r="Z174" s="170"/>
    </row>
    <row r="175" ht="12.75" customHeight="1">
      <c r="A175" s="170"/>
      <c r="B175" s="170"/>
      <c r="C175" s="173"/>
      <c r="D175" s="170"/>
      <c r="E175" s="170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0"/>
      <c r="X175" s="170"/>
      <c r="Y175" s="170"/>
      <c r="Z175" s="170"/>
    </row>
    <row r="176" ht="12.75" customHeight="1">
      <c r="A176" s="170"/>
      <c r="B176" s="170"/>
      <c r="C176" s="173"/>
      <c r="D176" s="170"/>
      <c r="E176" s="170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0"/>
      <c r="X176" s="170"/>
      <c r="Y176" s="170"/>
      <c r="Z176" s="170"/>
    </row>
    <row r="177" ht="12.75" customHeight="1">
      <c r="A177" s="170"/>
      <c r="B177" s="170"/>
      <c r="C177" s="173"/>
      <c r="D177" s="170"/>
      <c r="E177" s="170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0"/>
      <c r="X177" s="170"/>
      <c r="Y177" s="170"/>
      <c r="Z177" s="170"/>
    </row>
    <row r="178" ht="12.75" customHeight="1">
      <c r="A178" s="170"/>
      <c r="B178" s="170"/>
      <c r="C178" s="173"/>
      <c r="D178" s="170"/>
      <c r="E178" s="170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0"/>
      <c r="X178" s="170"/>
      <c r="Y178" s="170"/>
      <c r="Z178" s="170"/>
    </row>
    <row r="179" ht="12.75" customHeight="1">
      <c r="A179" s="170"/>
      <c r="B179" s="170"/>
      <c r="C179" s="173"/>
      <c r="D179" s="170"/>
      <c r="E179" s="170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0"/>
      <c r="X179" s="170"/>
      <c r="Y179" s="170"/>
      <c r="Z179" s="170"/>
    </row>
    <row r="180" ht="12.75" customHeight="1">
      <c r="A180" s="170"/>
      <c r="B180" s="170"/>
      <c r="C180" s="173"/>
      <c r="D180" s="170"/>
      <c r="E180" s="170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0"/>
      <c r="X180" s="170"/>
      <c r="Y180" s="170"/>
      <c r="Z180" s="170"/>
    </row>
    <row r="181" ht="12.75" customHeight="1">
      <c r="A181" s="170"/>
      <c r="B181" s="170"/>
      <c r="C181" s="173"/>
      <c r="D181" s="170"/>
      <c r="E181" s="170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0"/>
      <c r="X181" s="170"/>
      <c r="Y181" s="170"/>
      <c r="Z181" s="170"/>
    </row>
    <row r="182" ht="12.75" customHeight="1">
      <c r="A182" s="170"/>
      <c r="B182" s="170"/>
      <c r="C182" s="173"/>
      <c r="D182" s="170"/>
      <c r="E182" s="170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0"/>
      <c r="X182" s="170"/>
      <c r="Y182" s="170"/>
      <c r="Z182" s="170"/>
    </row>
    <row r="183" ht="12.75" customHeight="1">
      <c r="A183" s="170"/>
      <c r="B183" s="170"/>
      <c r="C183" s="173"/>
      <c r="D183" s="170"/>
      <c r="E183" s="170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0"/>
      <c r="X183" s="170"/>
      <c r="Y183" s="170"/>
      <c r="Z183" s="170"/>
    </row>
    <row r="184" ht="12.75" customHeight="1">
      <c r="A184" s="170"/>
      <c r="B184" s="170"/>
      <c r="C184" s="173"/>
      <c r="D184" s="170"/>
      <c r="E184" s="170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0"/>
      <c r="X184" s="170"/>
      <c r="Y184" s="170"/>
      <c r="Z184" s="170"/>
    </row>
    <row r="185" ht="12.75" customHeight="1">
      <c r="A185" s="170"/>
      <c r="B185" s="170"/>
      <c r="C185" s="173"/>
      <c r="D185" s="170"/>
      <c r="E185" s="170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0"/>
      <c r="X185" s="170"/>
      <c r="Y185" s="170"/>
      <c r="Z185" s="170"/>
    </row>
    <row r="186" ht="12.75" customHeight="1">
      <c r="A186" s="170"/>
      <c r="B186" s="170"/>
      <c r="C186" s="173"/>
      <c r="D186" s="170"/>
      <c r="E186" s="170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0"/>
      <c r="X186" s="170"/>
      <c r="Y186" s="170"/>
      <c r="Z186" s="170"/>
    </row>
    <row r="187" ht="12.75" customHeight="1">
      <c r="A187" s="170"/>
      <c r="B187" s="170"/>
      <c r="C187" s="173"/>
      <c r="D187" s="170"/>
      <c r="E187" s="170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0"/>
      <c r="X187" s="170"/>
      <c r="Y187" s="170"/>
      <c r="Z187" s="170"/>
    </row>
    <row r="188" ht="12.75" customHeight="1">
      <c r="A188" s="170"/>
      <c r="B188" s="170"/>
      <c r="C188" s="173"/>
      <c r="D188" s="170"/>
      <c r="E188" s="170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0"/>
      <c r="X188" s="170"/>
      <c r="Y188" s="170"/>
      <c r="Z188" s="170"/>
    </row>
    <row r="189" ht="12.75" customHeight="1">
      <c r="A189" s="170"/>
      <c r="B189" s="170"/>
      <c r="C189" s="173"/>
      <c r="D189" s="170"/>
      <c r="E189" s="170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0"/>
      <c r="X189" s="170"/>
      <c r="Y189" s="170"/>
      <c r="Z189" s="170"/>
    </row>
    <row r="190" ht="12.75" customHeight="1">
      <c r="A190" s="170"/>
      <c r="B190" s="170"/>
      <c r="C190" s="173"/>
      <c r="D190" s="170"/>
      <c r="E190" s="170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0"/>
      <c r="X190" s="170"/>
      <c r="Y190" s="170"/>
      <c r="Z190" s="170"/>
    </row>
    <row r="191" ht="12.75" customHeight="1">
      <c r="A191" s="170"/>
      <c r="B191" s="170"/>
      <c r="C191" s="173"/>
      <c r="D191" s="170"/>
      <c r="E191" s="170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0"/>
      <c r="X191" s="170"/>
      <c r="Y191" s="170"/>
      <c r="Z191" s="170"/>
    </row>
    <row r="192" ht="12.75" customHeight="1">
      <c r="A192" s="170"/>
      <c r="B192" s="170"/>
      <c r="C192" s="173"/>
      <c r="D192" s="170"/>
      <c r="E192" s="170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0"/>
      <c r="X192" s="170"/>
      <c r="Y192" s="170"/>
      <c r="Z192" s="170"/>
    </row>
    <row r="193" ht="12.75" customHeight="1">
      <c r="A193" s="170"/>
      <c r="B193" s="170"/>
      <c r="C193" s="173"/>
      <c r="D193" s="170"/>
      <c r="E193" s="170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0"/>
      <c r="X193" s="170"/>
      <c r="Y193" s="170"/>
      <c r="Z193" s="170"/>
    </row>
    <row r="194" ht="12.75" customHeight="1">
      <c r="A194" s="170"/>
      <c r="B194" s="170"/>
      <c r="C194" s="173"/>
      <c r="D194" s="170"/>
      <c r="E194" s="170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0"/>
      <c r="X194" s="170"/>
      <c r="Y194" s="170"/>
      <c r="Z194" s="170"/>
    </row>
    <row r="195" ht="12.75" customHeight="1">
      <c r="A195" s="170"/>
      <c r="B195" s="170"/>
      <c r="C195" s="173"/>
      <c r="D195" s="170"/>
      <c r="E195" s="170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0"/>
      <c r="X195" s="170"/>
      <c r="Y195" s="170"/>
      <c r="Z195" s="170"/>
    </row>
    <row r="196" ht="12.75" customHeight="1">
      <c r="A196" s="170"/>
      <c r="B196" s="170"/>
      <c r="C196" s="173"/>
      <c r="D196" s="170"/>
      <c r="E196" s="170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0"/>
      <c r="X196" s="170"/>
      <c r="Y196" s="170"/>
      <c r="Z196" s="170"/>
    </row>
    <row r="197" ht="12.75" customHeight="1">
      <c r="A197" s="170"/>
      <c r="B197" s="170"/>
      <c r="C197" s="173"/>
      <c r="D197" s="170"/>
      <c r="E197" s="170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0"/>
      <c r="X197" s="170"/>
      <c r="Y197" s="170"/>
      <c r="Z197" s="170"/>
    </row>
    <row r="198" ht="12.75" customHeight="1">
      <c r="A198" s="170"/>
      <c r="B198" s="170"/>
      <c r="C198" s="173"/>
      <c r="D198" s="170"/>
      <c r="E198" s="170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0"/>
      <c r="X198" s="170"/>
      <c r="Y198" s="170"/>
      <c r="Z198" s="170"/>
    </row>
    <row r="199" ht="12.75" customHeight="1">
      <c r="A199" s="170"/>
      <c r="B199" s="170"/>
      <c r="C199" s="173"/>
      <c r="D199" s="170"/>
      <c r="E199" s="170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0"/>
      <c r="X199" s="170"/>
      <c r="Y199" s="170"/>
      <c r="Z199" s="170"/>
    </row>
    <row r="200" ht="12.75" customHeight="1">
      <c r="A200" s="170"/>
      <c r="B200" s="170"/>
      <c r="C200" s="173"/>
      <c r="D200" s="170"/>
      <c r="E200" s="170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0"/>
      <c r="X200" s="170"/>
      <c r="Y200" s="170"/>
      <c r="Z200" s="170"/>
    </row>
    <row r="201" ht="12.75" customHeight="1">
      <c r="A201" s="170"/>
      <c r="B201" s="170"/>
      <c r="C201" s="173"/>
      <c r="D201" s="170"/>
      <c r="E201" s="170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0"/>
      <c r="X201" s="170"/>
      <c r="Y201" s="170"/>
      <c r="Z201" s="170"/>
    </row>
    <row r="202" ht="12.75" customHeight="1">
      <c r="A202" s="170"/>
      <c r="B202" s="170"/>
      <c r="C202" s="173"/>
      <c r="D202" s="170"/>
      <c r="E202" s="170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0"/>
      <c r="X202" s="170"/>
      <c r="Y202" s="170"/>
      <c r="Z202" s="170"/>
    </row>
    <row r="203" ht="12.75" customHeight="1">
      <c r="A203" s="170"/>
      <c r="B203" s="170"/>
      <c r="C203" s="173"/>
      <c r="D203" s="170"/>
      <c r="E203" s="170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0"/>
      <c r="X203" s="170"/>
      <c r="Y203" s="170"/>
      <c r="Z203" s="170"/>
    </row>
    <row r="204" ht="12.75" customHeight="1">
      <c r="A204" s="170"/>
      <c r="B204" s="170"/>
      <c r="C204" s="173"/>
      <c r="D204" s="170"/>
      <c r="E204" s="170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0"/>
      <c r="X204" s="170"/>
      <c r="Y204" s="170"/>
      <c r="Z204" s="170"/>
    </row>
    <row r="205" ht="12.75" customHeight="1">
      <c r="A205" s="170"/>
      <c r="B205" s="170"/>
      <c r="C205" s="173"/>
      <c r="D205" s="170"/>
      <c r="E205" s="170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0"/>
      <c r="X205" s="170"/>
      <c r="Y205" s="170"/>
      <c r="Z205" s="170"/>
    </row>
    <row r="206" ht="12.75" customHeight="1">
      <c r="A206" s="170"/>
      <c r="B206" s="170"/>
      <c r="C206" s="173"/>
      <c r="D206" s="170"/>
      <c r="E206" s="170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0"/>
      <c r="X206" s="170"/>
      <c r="Y206" s="170"/>
      <c r="Z206" s="170"/>
    </row>
    <row r="207" ht="12.75" customHeight="1">
      <c r="A207" s="170"/>
      <c r="B207" s="170"/>
      <c r="C207" s="173"/>
      <c r="D207" s="170"/>
      <c r="E207" s="170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0"/>
      <c r="X207" s="170"/>
      <c r="Y207" s="170"/>
      <c r="Z207" s="170"/>
    </row>
    <row r="208" ht="12.75" customHeight="1">
      <c r="A208" s="170"/>
      <c r="B208" s="170"/>
      <c r="C208" s="173"/>
      <c r="D208" s="170"/>
      <c r="E208" s="170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0"/>
      <c r="X208" s="170"/>
      <c r="Y208" s="170"/>
      <c r="Z208" s="170"/>
    </row>
    <row r="209" ht="12.75" customHeight="1">
      <c r="A209" s="170"/>
      <c r="B209" s="170"/>
      <c r="C209" s="173"/>
      <c r="D209" s="170"/>
      <c r="E209" s="170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0"/>
      <c r="X209" s="170"/>
      <c r="Y209" s="170"/>
      <c r="Z209" s="170"/>
    </row>
    <row r="210" ht="12.75" customHeight="1">
      <c r="A210" s="170"/>
      <c r="B210" s="170"/>
      <c r="C210" s="173"/>
      <c r="D210" s="170"/>
      <c r="E210" s="170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0"/>
      <c r="X210" s="170"/>
      <c r="Y210" s="170"/>
      <c r="Z210" s="170"/>
    </row>
    <row r="211" ht="12.75" customHeight="1">
      <c r="A211" s="170"/>
      <c r="B211" s="170"/>
      <c r="C211" s="173"/>
      <c r="D211" s="170"/>
      <c r="E211" s="170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0"/>
      <c r="X211" s="170"/>
      <c r="Y211" s="170"/>
      <c r="Z211" s="170"/>
    </row>
    <row r="212" ht="12.75" customHeight="1">
      <c r="A212" s="170"/>
      <c r="B212" s="170"/>
      <c r="C212" s="173"/>
      <c r="D212" s="170"/>
      <c r="E212" s="170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0"/>
      <c r="X212" s="170"/>
      <c r="Y212" s="170"/>
      <c r="Z212" s="170"/>
    </row>
    <row r="213" ht="12.75" customHeight="1">
      <c r="A213" s="170"/>
      <c r="B213" s="170"/>
      <c r="C213" s="173"/>
      <c r="D213" s="170"/>
      <c r="E213" s="170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0"/>
      <c r="X213" s="170"/>
      <c r="Y213" s="170"/>
      <c r="Z213" s="170"/>
    </row>
    <row r="214" ht="12.75" customHeight="1">
      <c r="A214" s="170"/>
      <c r="B214" s="170"/>
      <c r="C214" s="173"/>
      <c r="D214" s="170"/>
      <c r="E214" s="170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0"/>
      <c r="X214" s="170"/>
      <c r="Y214" s="170"/>
      <c r="Z214" s="170"/>
    </row>
    <row r="215" ht="12.75" customHeight="1">
      <c r="A215" s="170"/>
      <c r="B215" s="170"/>
      <c r="C215" s="173"/>
      <c r="D215" s="170"/>
      <c r="E215" s="170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0"/>
      <c r="X215" s="170"/>
      <c r="Y215" s="170"/>
      <c r="Z215" s="170"/>
    </row>
    <row r="216" ht="12.75" customHeight="1">
      <c r="A216" s="170"/>
      <c r="B216" s="170"/>
      <c r="C216" s="173"/>
      <c r="D216" s="170"/>
      <c r="E216" s="170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0"/>
      <c r="X216" s="170"/>
      <c r="Y216" s="170"/>
      <c r="Z216" s="170"/>
    </row>
    <row r="217" ht="12.75" customHeight="1">
      <c r="A217" s="170"/>
      <c r="B217" s="170"/>
      <c r="C217" s="173"/>
      <c r="D217" s="170"/>
      <c r="E217" s="170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0"/>
      <c r="X217" s="170"/>
      <c r="Y217" s="170"/>
      <c r="Z217" s="170"/>
    </row>
    <row r="218" ht="12.75" customHeight="1">
      <c r="A218" s="170"/>
      <c r="B218" s="170"/>
      <c r="C218" s="173"/>
      <c r="D218" s="170"/>
      <c r="E218" s="170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0"/>
      <c r="X218" s="170"/>
      <c r="Y218" s="170"/>
      <c r="Z218" s="170"/>
    </row>
    <row r="219" ht="12.75" customHeight="1">
      <c r="A219" s="170"/>
      <c r="B219" s="170"/>
      <c r="C219" s="173"/>
      <c r="D219" s="170"/>
      <c r="E219" s="170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0"/>
      <c r="X219" s="170"/>
      <c r="Y219" s="170"/>
      <c r="Z219" s="170"/>
    </row>
    <row r="220" ht="12.75" customHeight="1">
      <c r="A220" s="170"/>
      <c r="B220" s="170"/>
      <c r="C220" s="173"/>
      <c r="D220" s="170"/>
      <c r="E220" s="170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0"/>
      <c r="X220" s="170"/>
      <c r="Y220" s="170"/>
      <c r="Z220" s="170"/>
    </row>
    <row r="221" ht="12.75" customHeight="1">
      <c r="A221" s="170"/>
      <c r="B221" s="170"/>
      <c r="C221" s="173"/>
      <c r="D221" s="170"/>
      <c r="E221" s="170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0"/>
      <c r="X221" s="170"/>
      <c r="Y221" s="170"/>
      <c r="Z221" s="170"/>
    </row>
    <row r="222" ht="12.75" customHeight="1">
      <c r="A222" s="170"/>
      <c r="B222" s="170"/>
      <c r="C222" s="173"/>
      <c r="D222" s="170"/>
      <c r="E222" s="170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0"/>
      <c r="X222" s="170"/>
      <c r="Y222" s="170"/>
      <c r="Z222" s="170"/>
    </row>
    <row r="223" ht="12.75" customHeight="1">
      <c r="A223" s="170"/>
      <c r="B223" s="170"/>
      <c r="C223" s="173"/>
      <c r="D223" s="170"/>
      <c r="E223" s="170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0"/>
      <c r="X223" s="170"/>
      <c r="Y223" s="170"/>
      <c r="Z223" s="170"/>
    </row>
    <row r="224" ht="12.75" customHeight="1">
      <c r="A224" s="170"/>
      <c r="B224" s="170"/>
      <c r="C224" s="173"/>
      <c r="D224" s="170"/>
      <c r="E224" s="170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0"/>
      <c r="X224" s="170"/>
      <c r="Y224" s="170"/>
      <c r="Z224" s="170"/>
    </row>
    <row r="225" ht="12.75" customHeight="1">
      <c r="A225" s="170"/>
      <c r="B225" s="170"/>
      <c r="C225" s="173"/>
      <c r="D225" s="170"/>
      <c r="E225" s="170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0"/>
      <c r="X225" s="170"/>
      <c r="Y225" s="170"/>
      <c r="Z225" s="170"/>
    </row>
    <row r="226" ht="12.75" customHeight="1">
      <c r="A226" s="170"/>
      <c r="B226" s="170"/>
      <c r="C226" s="173"/>
      <c r="D226" s="170"/>
      <c r="E226" s="170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0"/>
      <c r="X226" s="170"/>
      <c r="Y226" s="170"/>
      <c r="Z226" s="170"/>
    </row>
    <row r="227" ht="12.75" customHeight="1">
      <c r="A227" s="170"/>
      <c r="B227" s="170"/>
      <c r="C227" s="173"/>
      <c r="D227" s="170"/>
      <c r="E227" s="170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0"/>
      <c r="X227" s="170"/>
      <c r="Y227" s="170"/>
      <c r="Z227" s="170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2">
    <mergeCell ref="D15:E15"/>
    <mergeCell ref="D16:E16"/>
  </mergeCells>
  <dataValidations>
    <dataValidation type="list" allowBlank="1" sqref="E18:E28">
      <formula1>"Planeado,En Marcha,Listo"</formula1>
    </dataValidation>
    <dataValidation type="list" allowBlank="1" sqref="E3:E13">
      <formula1>"Planned,Ongoing,Done"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1859B"/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10.89"/>
    <col customWidth="1" min="3" max="3" width="37.22"/>
    <col customWidth="1" min="4" max="4" width="51.0"/>
    <col customWidth="1" min="5" max="5" width="42.44"/>
    <col customWidth="1" min="6" max="6" width="11.89"/>
    <col customWidth="1" min="7" max="7" width="15.67"/>
  </cols>
  <sheetData>
    <row r="1">
      <c r="A1" s="1"/>
      <c r="B1" s="1"/>
      <c r="C1" s="1"/>
      <c r="D1" s="222" t="s">
        <v>324</v>
      </c>
      <c r="E1" s="1"/>
      <c r="F1" s="1"/>
      <c r="G1" s="1"/>
      <c r="H1" s="1"/>
      <c r="I1" s="1"/>
      <c r="J1" s="1"/>
    </row>
    <row r="2">
      <c r="A2" s="2" t="s">
        <v>325</v>
      </c>
      <c r="B2" s="1"/>
      <c r="C2" s="1"/>
      <c r="D2" s="22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22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22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223" t="s">
        <v>326</v>
      </c>
      <c r="B5" s="223"/>
      <c r="C5" s="162"/>
      <c r="D5" s="224" t="s">
        <v>327</v>
      </c>
      <c r="E5" s="225"/>
      <c r="F5" s="22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223" t="s">
        <v>328</v>
      </c>
      <c r="B6" s="223"/>
      <c r="C6" s="162">
        <v>1.0</v>
      </c>
      <c r="D6" s="224" t="s">
        <v>329</v>
      </c>
      <c r="E6" s="225"/>
      <c r="F6" s="22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223" t="s">
        <v>330</v>
      </c>
      <c r="B7" s="223"/>
      <c r="C7" s="162"/>
      <c r="D7" s="224" t="s">
        <v>331</v>
      </c>
      <c r="E7" s="225"/>
      <c r="F7" s="22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223" t="s">
        <v>332</v>
      </c>
      <c r="B8" s="223"/>
      <c r="C8" s="162"/>
      <c r="D8" s="224" t="s">
        <v>333</v>
      </c>
      <c r="E8" s="225"/>
      <c r="F8" s="22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227"/>
      <c r="B9" s="144"/>
      <c r="C9" s="144"/>
      <c r="D9" s="228"/>
      <c r="E9" s="144"/>
      <c r="F9" s="14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27.75" customHeight="1">
      <c r="A10" s="229" t="s">
        <v>334</v>
      </c>
      <c r="B10" s="229" t="s">
        <v>335</v>
      </c>
      <c r="C10" s="229" t="s">
        <v>336</v>
      </c>
      <c r="D10" s="229" t="s">
        <v>337</v>
      </c>
      <c r="E10" s="229" t="s">
        <v>338</v>
      </c>
      <c r="F10" s="229" t="s">
        <v>339</v>
      </c>
      <c r="G10" s="230" t="s">
        <v>340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21.75" customHeight="1">
      <c r="A11" s="162">
        <v>1.0</v>
      </c>
      <c r="B11" s="231">
        <v>45948.0</v>
      </c>
      <c r="C11" s="162" t="s">
        <v>341</v>
      </c>
      <c r="D11" s="162" t="s">
        <v>342</v>
      </c>
      <c r="E11" s="162" t="s">
        <v>343</v>
      </c>
      <c r="F11" s="162"/>
      <c r="G11" s="232" t="s">
        <v>344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21.75" customHeight="1">
      <c r="A12" s="162">
        <v>2.0</v>
      </c>
      <c r="B12" s="231">
        <v>45948.0</v>
      </c>
      <c r="C12" s="162" t="s">
        <v>345</v>
      </c>
      <c r="D12" s="162" t="s">
        <v>346</v>
      </c>
      <c r="E12" s="162" t="s">
        <v>346</v>
      </c>
      <c r="F12" s="162"/>
      <c r="G12" s="23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21.75" customHeight="1">
      <c r="A13" s="162">
        <v>3.0</v>
      </c>
      <c r="B13" s="231"/>
      <c r="C13" s="162"/>
      <c r="D13" s="162"/>
      <c r="E13" s="162"/>
      <c r="F13" s="162"/>
      <c r="G13" s="23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21.75" customHeight="1">
      <c r="A14" s="162"/>
      <c r="B14" s="231"/>
      <c r="C14" s="162"/>
      <c r="D14" s="162"/>
      <c r="E14" s="162"/>
      <c r="F14" s="162"/>
      <c r="G14" s="23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21.75" customHeight="1">
      <c r="A15" s="162"/>
      <c r="B15" s="162"/>
      <c r="C15" s="162"/>
      <c r="D15" s="162"/>
      <c r="E15" s="162"/>
      <c r="F15" s="162"/>
      <c r="G15" s="23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21.75" customHeight="1">
      <c r="A16" s="162"/>
      <c r="B16" s="162"/>
      <c r="C16" s="162"/>
      <c r="D16" s="162"/>
      <c r="E16" s="162"/>
      <c r="F16" s="162"/>
      <c r="G16" s="23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21.75" customHeight="1">
      <c r="A17" s="162"/>
      <c r="B17" s="162"/>
      <c r="C17" s="162"/>
      <c r="D17" s="162"/>
      <c r="E17" s="162"/>
      <c r="F17" s="162"/>
      <c r="G17" s="23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21.75" customHeight="1">
      <c r="A18" s="162"/>
      <c r="B18" s="162"/>
      <c r="C18" s="162"/>
      <c r="D18" s="162"/>
      <c r="E18" s="162"/>
      <c r="F18" s="162"/>
      <c r="G18" s="23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21.75" customHeight="1">
      <c r="A19" s="162"/>
      <c r="B19" s="162"/>
      <c r="C19" s="162"/>
      <c r="D19" s="162"/>
      <c r="E19" s="162"/>
      <c r="F19" s="162"/>
      <c r="G19" s="23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21.75" customHeight="1">
      <c r="A20" s="162"/>
      <c r="B20" s="162"/>
      <c r="C20" s="162"/>
      <c r="D20" s="162"/>
      <c r="E20" s="162"/>
      <c r="F20" s="162"/>
      <c r="G20" s="23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21.75" customHeight="1">
      <c r="A21" s="162"/>
      <c r="B21" s="162"/>
      <c r="C21" s="162"/>
      <c r="D21" s="162"/>
      <c r="E21" s="162"/>
      <c r="F21" s="162"/>
      <c r="G21" s="23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21.75" customHeight="1">
      <c r="A22" s="162"/>
      <c r="B22" s="162"/>
      <c r="C22" s="162"/>
      <c r="D22" s="162"/>
      <c r="E22" s="162"/>
      <c r="F22" s="162"/>
      <c r="G22" s="235" t="s">
        <v>347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21.75" customHeight="1">
      <c r="A23" s="162"/>
      <c r="B23" s="162"/>
      <c r="C23" s="162"/>
      <c r="D23" s="162"/>
      <c r="E23" s="162"/>
      <c r="F23" s="162"/>
      <c r="G23" s="23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21.75" customHeight="1">
      <c r="A24" s="162"/>
      <c r="B24" s="162"/>
      <c r="C24" s="162"/>
      <c r="D24" s="162"/>
      <c r="E24" s="162"/>
      <c r="F24" s="162"/>
      <c r="G24" s="23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21.75" customHeight="1">
      <c r="A25" s="162"/>
      <c r="B25" s="162"/>
      <c r="C25" s="162"/>
      <c r="D25" s="162"/>
      <c r="E25" s="162"/>
      <c r="F25" s="162"/>
      <c r="G25" s="23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236" t="s">
        <v>348</v>
      </c>
      <c r="B27" s="79"/>
      <c r="C27" s="79"/>
      <c r="D27" s="79"/>
      <c r="E27" s="79"/>
      <c r="F27" s="79"/>
      <c r="G27" s="8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83"/>
      <c r="G28" s="8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83"/>
      <c r="G29" s="8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98"/>
      <c r="B30" s="99"/>
      <c r="C30" s="99"/>
      <c r="D30" s="99"/>
      <c r="E30" s="99"/>
      <c r="F30" s="99"/>
      <c r="G30" s="10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5:F5"/>
    <mergeCell ref="E6:F6"/>
    <mergeCell ref="E7:F7"/>
    <mergeCell ref="E8:F8"/>
    <mergeCell ref="G11:G21"/>
    <mergeCell ref="G22:G25"/>
    <mergeCell ref="A27:G30"/>
  </mergeCells>
  <printOptions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/>
  </sheetPr>
  <sheetViews>
    <sheetView workbookViewId="0"/>
  </sheetViews>
  <sheetFormatPr customHeight="1" defaultColWidth="11.22" defaultRowHeight="15.0"/>
  <cols>
    <col customWidth="1" min="1" max="3" width="11.22"/>
    <col customWidth="1" min="4" max="4" width="18.0"/>
    <col customWidth="1" min="5" max="5" width="17.44"/>
    <col customWidth="1" min="6" max="6" width="16.0"/>
    <col customWidth="1" min="7" max="7" width="14.44"/>
    <col customWidth="1" min="8" max="8" width="19.44"/>
    <col customWidth="1" min="9" max="9" width="20.11"/>
    <col customWidth="1" min="10" max="10" width="19.0"/>
    <col customWidth="1" min="11" max="11" width="19.44"/>
    <col customWidth="1" min="12" max="12" width="22.4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349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237" t="s">
        <v>350</v>
      </c>
      <c r="B6" s="79"/>
      <c r="C6" s="238"/>
      <c r="D6" s="239" t="s">
        <v>351</v>
      </c>
      <c r="E6" s="240"/>
      <c r="F6" s="226"/>
      <c r="G6" s="239" t="s">
        <v>352</v>
      </c>
      <c r="H6" s="240"/>
      <c r="I6" s="226"/>
      <c r="J6" s="239" t="s">
        <v>353</v>
      </c>
      <c r="K6" s="240"/>
      <c r="L6" s="22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65"/>
      <c r="B7" s="166"/>
      <c r="C7" s="241"/>
      <c r="D7" s="242" t="s">
        <v>354</v>
      </c>
      <c r="E7" s="242" t="s">
        <v>355</v>
      </c>
      <c r="F7" s="242" t="s">
        <v>356</v>
      </c>
      <c r="G7" s="242" t="s">
        <v>357</v>
      </c>
      <c r="H7" s="242" t="s">
        <v>358</v>
      </c>
      <c r="I7" s="242" t="s">
        <v>359</v>
      </c>
      <c r="J7" s="242" t="s">
        <v>360</v>
      </c>
      <c r="K7" s="242" t="s">
        <v>361</v>
      </c>
      <c r="L7" s="242" t="s">
        <v>362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243" t="s">
        <v>363</v>
      </c>
      <c r="B8" s="244"/>
      <c r="C8" s="245"/>
      <c r="D8" s="246"/>
      <c r="E8" s="244"/>
      <c r="F8" s="244"/>
      <c r="G8" s="244"/>
      <c r="H8" s="244"/>
      <c r="I8" s="244"/>
      <c r="J8" s="244"/>
      <c r="K8" s="244"/>
      <c r="L8" s="24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247"/>
      <c r="C9" s="248"/>
      <c r="D9" s="247"/>
      <c r="L9" s="24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247"/>
      <c r="C10" s="248"/>
      <c r="D10" s="247"/>
      <c r="L10" s="24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247"/>
      <c r="C11" s="248"/>
      <c r="D11" s="247"/>
      <c r="L11" s="24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247"/>
      <c r="C12" s="248"/>
      <c r="D12" s="247"/>
      <c r="L12" s="24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247"/>
      <c r="C13" s="248"/>
      <c r="D13" s="247"/>
      <c r="L13" s="24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247"/>
      <c r="C14" s="248"/>
      <c r="D14" s="247"/>
      <c r="L14" s="24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247"/>
      <c r="C15" s="248"/>
      <c r="D15" s="247"/>
      <c r="L15" s="24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42.0" customHeight="1">
      <c r="A16" s="249"/>
      <c r="B16" s="166"/>
      <c r="C16" s="241"/>
      <c r="D16" s="249"/>
      <c r="E16" s="166"/>
      <c r="F16" s="166"/>
      <c r="G16" s="166"/>
      <c r="H16" s="166"/>
      <c r="I16" s="166"/>
      <c r="J16" s="166"/>
      <c r="K16" s="166"/>
      <c r="L16" s="24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250" t="s">
        <v>364</v>
      </c>
      <c r="C17" s="248"/>
      <c r="D17" s="246"/>
      <c r="E17" s="244"/>
      <c r="F17" s="244"/>
      <c r="G17" s="244"/>
      <c r="H17" s="244"/>
      <c r="I17" s="244"/>
      <c r="J17" s="244"/>
      <c r="K17" s="244"/>
      <c r="L17" s="24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247"/>
      <c r="C18" s="248"/>
      <c r="D18" s="247"/>
      <c r="L18" s="24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247"/>
      <c r="C19" s="248"/>
      <c r="D19" s="247"/>
      <c r="L19" s="24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247"/>
      <c r="C20" s="248"/>
      <c r="D20" s="247"/>
      <c r="L20" s="24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247"/>
      <c r="C21" s="248"/>
      <c r="D21" s="247"/>
      <c r="L21" s="24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247"/>
      <c r="C22" s="248"/>
      <c r="D22" s="247"/>
      <c r="L22" s="24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247"/>
      <c r="C23" s="248"/>
      <c r="D23" s="247"/>
      <c r="L23" s="24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247"/>
      <c r="C24" s="248"/>
      <c r="D24" s="247"/>
      <c r="L24" s="24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42.0" customHeight="1">
      <c r="A25" s="249"/>
      <c r="B25" s="166"/>
      <c r="C25" s="241"/>
      <c r="D25" s="249"/>
      <c r="E25" s="166"/>
      <c r="F25" s="166"/>
      <c r="G25" s="166"/>
      <c r="H25" s="166"/>
      <c r="I25" s="166"/>
      <c r="J25" s="166"/>
      <c r="K25" s="166"/>
      <c r="L25" s="24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243" t="s">
        <v>365</v>
      </c>
      <c r="B26" s="244"/>
      <c r="C26" s="245"/>
      <c r="D26" s="246"/>
      <c r="E26" s="244"/>
      <c r="F26" s="244"/>
      <c r="G26" s="244"/>
      <c r="H26" s="244"/>
      <c r="I26" s="244"/>
      <c r="J26" s="244"/>
      <c r="K26" s="244"/>
      <c r="L26" s="24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247"/>
      <c r="C27" s="248"/>
      <c r="D27" s="247"/>
      <c r="L27" s="24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247"/>
      <c r="C28" s="248"/>
      <c r="D28" s="247"/>
      <c r="L28" s="24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247"/>
      <c r="C29" s="248"/>
      <c r="D29" s="247"/>
      <c r="L29" s="24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247"/>
      <c r="C30" s="248"/>
      <c r="D30" s="247"/>
      <c r="L30" s="24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247"/>
      <c r="C31" s="248"/>
      <c r="D31" s="247"/>
      <c r="L31" s="24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247"/>
      <c r="C32" s="248"/>
      <c r="D32" s="247"/>
      <c r="L32" s="24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247"/>
      <c r="C33" s="248"/>
      <c r="D33" s="247"/>
      <c r="L33" s="24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42.0" customHeight="1">
      <c r="A34" s="249"/>
      <c r="B34" s="166"/>
      <c r="C34" s="241"/>
      <c r="D34" s="249"/>
      <c r="E34" s="166"/>
      <c r="F34" s="166"/>
      <c r="G34" s="166"/>
      <c r="H34" s="166"/>
      <c r="I34" s="166"/>
      <c r="J34" s="166"/>
      <c r="K34" s="166"/>
      <c r="L34" s="2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243" t="s">
        <v>366</v>
      </c>
      <c r="B35" s="244"/>
      <c r="C35" s="245"/>
      <c r="D35" s="246"/>
      <c r="E35" s="244"/>
      <c r="F35" s="244"/>
      <c r="G35" s="244"/>
      <c r="H35" s="244"/>
      <c r="I35" s="244"/>
      <c r="J35" s="244"/>
      <c r="K35" s="244"/>
      <c r="L35" s="24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247"/>
      <c r="C36" s="248"/>
      <c r="D36" s="247"/>
      <c r="L36" s="24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247"/>
      <c r="C37" s="248"/>
      <c r="D37" s="247"/>
      <c r="L37" s="24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247"/>
      <c r="C38" s="248"/>
      <c r="D38" s="247"/>
      <c r="L38" s="2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247"/>
      <c r="C39" s="248"/>
      <c r="D39" s="247"/>
      <c r="L39" s="24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247"/>
      <c r="C40" s="248"/>
      <c r="D40" s="247"/>
      <c r="L40" s="24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247"/>
      <c r="C41" s="248"/>
      <c r="D41" s="247"/>
      <c r="L41" s="24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247"/>
      <c r="C42" s="248"/>
      <c r="D42" s="247"/>
      <c r="L42" s="24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42.0" customHeight="1">
      <c r="A43" s="249"/>
      <c r="B43" s="166"/>
      <c r="C43" s="241"/>
      <c r="D43" s="249"/>
      <c r="E43" s="166"/>
      <c r="F43" s="166"/>
      <c r="G43" s="166"/>
      <c r="H43" s="166"/>
      <c r="I43" s="166"/>
      <c r="J43" s="166"/>
      <c r="K43" s="166"/>
      <c r="L43" s="24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7:C25"/>
    <mergeCell ref="A26:C34"/>
    <mergeCell ref="A35:C43"/>
    <mergeCell ref="D26:L34"/>
    <mergeCell ref="D35:L43"/>
    <mergeCell ref="A6:C7"/>
    <mergeCell ref="D6:F6"/>
    <mergeCell ref="G6:I6"/>
    <mergeCell ref="J6:L6"/>
    <mergeCell ref="A8:C16"/>
    <mergeCell ref="D8:L16"/>
    <mergeCell ref="D17:L25"/>
  </mergeCells>
  <printOptions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3.11"/>
    <col customWidth="1" min="2" max="2" width="76.89"/>
    <col customWidth="1" min="3" max="3" width="21.44"/>
    <col customWidth="1" min="4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0" customHeight="1">
      <c r="A2" s="2" t="s">
        <v>367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5.0" customHeight="1">
      <c r="A5" s="251" t="s">
        <v>368</v>
      </c>
      <c r="B5" s="25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5.0" customHeight="1">
      <c r="A6" s="223" t="s">
        <v>144</v>
      </c>
      <c r="B6" s="16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5.0" customHeight="1">
      <c r="A7" s="223" t="s">
        <v>369</v>
      </c>
      <c r="B7" s="16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5.0" customHeight="1">
      <c r="A8" s="223" t="s">
        <v>370</v>
      </c>
      <c r="B8" s="16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5.0" customHeight="1">
      <c r="A9" s="223" t="s">
        <v>371</v>
      </c>
      <c r="B9" s="16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5.0" customHeight="1">
      <c r="A10" s="223" t="s">
        <v>372</v>
      </c>
      <c r="B10" s="16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5.0" customHeight="1">
      <c r="A11" s="223" t="s">
        <v>373</v>
      </c>
      <c r="B11" s="16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15.0" customHeight="1">
      <c r="A12" s="223" t="s">
        <v>374</v>
      </c>
      <c r="B12" s="16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5.0" customHeight="1">
      <c r="A13" s="22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.0" customHeight="1">
      <c r="A14" s="251" t="s">
        <v>375</v>
      </c>
      <c r="B14" s="25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253" t="s">
        <v>376</v>
      </c>
      <c r="B15" s="25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233"/>
      <c r="B16" s="25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233"/>
      <c r="B17" s="25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233"/>
      <c r="B18" s="25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233"/>
      <c r="B19" s="25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233"/>
      <c r="B20" s="25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A21" s="234"/>
      <c r="B21" s="25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253" t="s">
        <v>377</v>
      </c>
      <c r="B22" s="25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233"/>
      <c r="B23" s="25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233"/>
      <c r="B24" s="25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233"/>
      <c r="B25" s="25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233"/>
      <c r="B26" s="25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233"/>
      <c r="B27" s="25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257"/>
      <c r="B28" s="25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253" t="s">
        <v>378</v>
      </c>
      <c r="B29" s="25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233"/>
      <c r="B30" s="25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233"/>
      <c r="B31" s="25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233"/>
      <c r="B32" s="25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233"/>
      <c r="B33" s="25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233"/>
      <c r="B34" s="25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257"/>
      <c r="B35" s="25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253" t="s">
        <v>379</v>
      </c>
      <c r="B36" s="25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233"/>
      <c r="B37" s="25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233"/>
      <c r="B38" s="25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233"/>
      <c r="B39" s="25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233"/>
      <c r="B40" s="25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233"/>
      <c r="B41" s="25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257"/>
      <c r="B42" s="25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7" t="s">
        <v>380</v>
      </c>
      <c r="B43" s="258" t="s">
        <v>381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259" t="s">
        <v>382</v>
      </c>
      <c r="B46" s="79"/>
      <c r="C46" s="8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83"/>
      <c r="C47" s="8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83"/>
      <c r="C48" s="8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98"/>
      <c r="B49" s="99"/>
      <c r="C49" s="10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36:B42"/>
    <mergeCell ref="A46:C49"/>
    <mergeCell ref="A15:A21"/>
    <mergeCell ref="B15:B21"/>
    <mergeCell ref="A22:A28"/>
    <mergeCell ref="B22:B28"/>
    <mergeCell ref="A29:A35"/>
    <mergeCell ref="B29:B35"/>
    <mergeCell ref="A36:A42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